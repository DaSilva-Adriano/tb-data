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riano/Library/CloudStorage/Nextcloud-nxt.dyadixs.com-AdrianoJoséQueirósdaSilva/HESGE/20-TravailBachelor/03-Donnees/"/>
    </mc:Choice>
  </mc:AlternateContent>
  <xr:revisionPtr revIDLastSave="0" documentId="13_ncr:1_{9DF9753F-9B70-9C4E-A1F1-3B228388651F}" xr6:coauthVersionLast="47" xr6:coauthVersionMax="47" xr10:uidLastSave="{00000000-0000-0000-0000-000000000000}"/>
  <bookViews>
    <workbookView xWindow="5620" yWindow="2140" windowWidth="26840" windowHeight="15380" xr2:uid="{1B3716FE-E34C-CA45-9773-7C15F154C853}"/>
  </bookViews>
  <sheets>
    <sheet name="RTX 2070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2" l="1"/>
  <c r="C4" i="2" s="1"/>
  <c r="B5" i="2"/>
  <c r="C11" i="2" s="1"/>
  <c r="B6" i="2"/>
  <c r="C12" i="2" s="1"/>
  <c r="B8" i="2"/>
  <c r="C8" i="2" s="1"/>
  <c r="I8" i="2"/>
  <c r="J8" i="2" s="1"/>
  <c r="I2" i="2"/>
  <c r="M6" i="2"/>
  <c r="L4" i="2"/>
  <c r="M4" i="2" s="1"/>
  <c r="L5" i="2"/>
  <c r="L8" i="2"/>
  <c r="M8" i="2" s="1"/>
  <c r="L7" i="2"/>
  <c r="M7" i="2" s="1"/>
  <c r="L11" i="2"/>
  <c r="L13" i="2"/>
  <c r="B10" i="2"/>
  <c r="J11" i="2"/>
  <c r="J12" i="2"/>
  <c r="J10" i="2"/>
  <c r="J7" i="2"/>
  <c r="M12" i="2"/>
  <c r="J6" i="2"/>
  <c r="J5" i="2"/>
  <c r="J4" i="2"/>
  <c r="E13" i="2"/>
  <c r="F8" i="2"/>
  <c r="F5" i="2"/>
  <c r="F4" i="2"/>
  <c r="C7" i="2"/>
  <c r="E4" i="2"/>
  <c r="F10" i="2" s="1"/>
  <c r="E5" i="2"/>
  <c r="F11" i="2" s="1"/>
  <c r="E6" i="2"/>
  <c r="F12" i="2" s="1"/>
  <c r="E7" i="2"/>
  <c r="F7" i="2" s="1"/>
  <c r="C10" i="2" l="1"/>
  <c r="C5" i="2"/>
  <c r="C6" i="2"/>
  <c r="M10" i="2"/>
  <c r="M11" i="2"/>
  <c r="M13" i="2"/>
  <c r="M5" i="2"/>
  <c r="F6" i="2"/>
  <c r="F13" i="2"/>
</calcChain>
</file>

<file path=xl/sharedStrings.xml><?xml version="1.0" encoding="utf-8"?>
<sst xmlns="http://schemas.openxmlformats.org/spreadsheetml/2006/main" count="58" uniqueCount="16">
  <si>
    <t>360p</t>
  </si>
  <si>
    <t>480p</t>
  </si>
  <si>
    <t>720p</t>
  </si>
  <si>
    <t>1080p</t>
  </si>
  <si>
    <t>4k</t>
  </si>
  <si>
    <t>NO AI - 60 FPS</t>
  </si>
  <si>
    <t>VSR ON 60FPS</t>
  </si>
  <si>
    <t>VSR ON 24FPS</t>
  </si>
  <si>
    <t>NO AI - 24FPS</t>
  </si>
  <si>
    <r>
      <t>IDLE</t>
    </r>
    <r>
      <rPr>
        <sz val="12"/>
        <color theme="1"/>
        <rFont val="Aptos Narrow"/>
        <scheme val="minor"/>
      </rPr>
      <t xml:space="preserve"> (W)</t>
    </r>
  </si>
  <si>
    <t>VSR EXTRA COST</t>
  </si>
  <si>
    <t>RENDER EXTRA</t>
  </si>
  <si>
    <t>Meridian</t>
  </si>
  <si>
    <t>BBB Sunflower</t>
  </si>
  <si>
    <t>Too Heavy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</si>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</sst>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1" fillId="2" borderId="0" xfId="0" applyFont="1" applyFill="1"/>
    <xf numFmtId="0" fontId="0" fillId="4" borderId="0" xfId="0" applyFill="1"/>
    <xf numFmtId="0" fontId="1" fillId="4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23D07F-3AB1-FE4E-83F6-25D06017EBE2}">
  <we:reference id="WA200011056" version="1.0.0.2" store="Omex" storeType="OMEX"/>
  <we:alternateReferences>
    <we:reference id="WA200011056" version="1.0.0.2" store="WA200011056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AEE00-DC19-D04B-B566-33B81362A19E}">
  <dimension ref="A1:M13"/>
  <sheetViews>
    <sheetView tabSelected="1" workbookViewId="0">
      <selection activeCell="C17" sqref="C17:C18"/>
    </sheetView>
  </sheetViews>
  <sheetFormatPr baseColWidth="10" defaultRowHeight="16" x14ac:dyDescent="0.2"/>
  <cols>
    <col min="1" max="1" width="12.6640625" bestFit="1" customWidth="1"/>
    <col min="3" max="3" width="14.5" bestFit="1" customWidth="1"/>
    <col min="4" max="4" width="13" bestFit="1" customWidth="1"/>
    <col min="5" max="5" width="15.5" bestFit="1" customWidth="1"/>
    <col min="6" max="6" width="14.5" bestFit="1" customWidth="1"/>
    <col min="8" max="8" width="13" bestFit="1" customWidth="1"/>
    <col min="10" max="10" width="14.5" bestFit="1" customWidth="1"/>
    <col min="11" max="11" width="13" bestFit="1" customWidth="1"/>
    <col min="13" max="13" width="14.5" bestFit="1" customWidth="1"/>
  </cols>
  <sheetData>
    <row r="1" spans="1:13" x14ac:dyDescent="0.2">
      <c r="A1" s="7" t="s">
        <v>12</v>
      </c>
      <c r="B1" s="7"/>
      <c r="C1" s="7"/>
      <c r="D1" s="7"/>
      <c r="E1" s="7"/>
      <c r="F1" s="7"/>
      <c r="H1" s="7" t="s">
        <v>13</v>
      </c>
      <c r="I1" s="7"/>
      <c r="J1" s="7"/>
      <c r="K1" s="7"/>
      <c r="L1" s="7"/>
      <c r="M1" s="7"/>
    </row>
    <row r="2" spans="1:13" x14ac:dyDescent="0.2">
      <c r="A2" s="6" t="s">
        <v>9</v>
      </c>
      <c r="B2" s="5">
        <v>17</v>
      </c>
      <c r="C2" s="5"/>
      <c r="D2" s="5"/>
      <c r="E2" s="5"/>
      <c r="F2" s="5"/>
      <c r="H2" s="6" t="s">
        <v>9</v>
      </c>
      <c r="I2" s="5">
        <f>B2</f>
        <v>17</v>
      </c>
      <c r="J2" s="5"/>
      <c r="K2" s="5"/>
      <c r="L2" s="5"/>
      <c r="M2" s="5"/>
    </row>
    <row r="3" spans="1:13" x14ac:dyDescent="0.2">
      <c r="A3" s="4" t="s">
        <v>5</v>
      </c>
      <c r="B3" s="1"/>
      <c r="C3" s="7" t="s">
        <v>11</v>
      </c>
      <c r="D3" s="4" t="s">
        <v>8</v>
      </c>
      <c r="E3" s="1"/>
      <c r="F3" s="7"/>
      <c r="H3" s="4" t="s">
        <v>5</v>
      </c>
      <c r="I3" s="1"/>
      <c r="J3" s="7" t="s">
        <v>11</v>
      </c>
      <c r="K3" s="4" t="s">
        <v>8</v>
      </c>
      <c r="L3" s="1"/>
      <c r="M3" s="7"/>
    </row>
    <row r="4" spans="1:13" x14ac:dyDescent="0.2">
      <c r="A4" s="1" t="s">
        <v>0</v>
      </c>
      <c r="B4" s="1">
        <f>AVERAGE(23,24)</f>
        <v>23.5</v>
      </c>
      <c r="C4" s="7">
        <f>B4-$B$2</f>
        <v>6.5</v>
      </c>
      <c r="D4" s="1" t="s">
        <v>0</v>
      </c>
      <c r="E4" s="1">
        <f>AVERAGE(20,21)</f>
        <v>20.5</v>
      </c>
      <c r="F4" s="7">
        <f>E4-$B$2</f>
        <v>3.5</v>
      </c>
      <c r="H4" s="1" t="s">
        <v>0</v>
      </c>
      <c r="I4" s="1">
        <v>24</v>
      </c>
      <c r="J4" s="7">
        <f>I4-$B$2</f>
        <v>7</v>
      </c>
      <c r="K4" s="1" t="s">
        <v>0</v>
      </c>
      <c r="L4" s="1">
        <f>AVERAGE(20,21)</f>
        <v>20.5</v>
      </c>
      <c r="M4" s="7">
        <f>L4-$B$2</f>
        <v>3.5</v>
      </c>
    </row>
    <row r="5" spans="1:13" x14ac:dyDescent="0.2">
      <c r="A5" s="1" t="s">
        <v>1</v>
      </c>
      <c r="B5" s="1">
        <f>AVERAGE(23,24)</f>
        <v>23.5</v>
      </c>
      <c r="C5" s="7">
        <f>B5-$B$2</f>
        <v>6.5</v>
      </c>
      <c r="D5" s="1" t="s">
        <v>1</v>
      </c>
      <c r="E5" s="1">
        <f>AVERAGE(20,21)</f>
        <v>20.5</v>
      </c>
      <c r="F5" s="7">
        <f>E5-$B$2</f>
        <v>3.5</v>
      </c>
      <c r="H5" s="1" t="s">
        <v>1</v>
      </c>
      <c r="I5" s="1">
        <v>24</v>
      </c>
      <c r="J5" s="7">
        <f>I5-$B$2</f>
        <v>7</v>
      </c>
      <c r="K5" s="1" t="s">
        <v>1</v>
      </c>
      <c r="L5" s="1">
        <f>AVERAGE(20,21)</f>
        <v>20.5</v>
      </c>
      <c r="M5" s="7">
        <f>L5-$B$2</f>
        <v>3.5</v>
      </c>
    </row>
    <row r="6" spans="1:13" x14ac:dyDescent="0.2">
      <c r="A6" s="1" t="s">
        <v>2</v>
      </c>
      <c r="B6" s="1">
        <f>AVERAGE(23,24)</f>
        <v>23.5</v>
      </c>
      <c r="C6" s="7">
        <f>B6-$B$2</f>
        <v>6.5</v>
      </c>
      <c r="D6" s="1" t="s">
        <v>2</v>
      </c>
      <c r="E6" s="1">
        <f>AVERAGE(20,21)</f>
        <v>20.5</v>
      </c>
      <c r="F6" s="7">
        <f>E6-$B$2</f>
        <v>3.5</v>
      </c>
      <c r="H6" s="1" t="s">
        <v>2</v>
      </c>
      <c r="I6" s="1">
        <v>24</v>
      </c>
      <c r="J6" s="7">
        <f>I6-$B$2</f>
        <v>7</v>
      </c>
      <c r="K6" s="1" t="s">
        <v>2</v>
      </c>
      <c r="L6" s="1">
        <v>21</v>
      </c>
      <c r="M6" s="7">
        <f>L6-$B$2</f>
        <v>4</v>
      </c>
    </row>
    <row r="7" spans="1:13" x14ac:dyDescent="0.2">
      <c r="A7" s="1" t="s">
        <v>3</v>
      </c>
      <c r="B7" s="1">
        <v>24</v>
      </c>
      <c r="C7" s="7">
        <f>B7-$B$2</f>
        <v>7</v>
      </c>
      <c r="D7" s="1" t="s">
        <v>3</v>
      </c>
      <c r="E7" s="1">
        <f>AVERAGE(20,21)</f>
        <v>20.5</v>
      </c>
      <c r="F7" s="7">
        <f>E7-$B$2</f>
        <v>3.5</v>
      </c>
      <c r="H7" s="1" t="s">
        <v>3</v>
      </c>
      <c r="I7" s="1">
        <v>24</v>
      </c>
      <c r="J7" s="7">
        <f>I7-$B$2</f>
        <v>7</v>
      </c>
      <c r="K7" s="1" t="s">
        <v>3</v>
      </c>
      <c r="L7" s="1">
        <f>AVERAGE(21,22)</f>
        <v>21.5</v>
      </c>
      <c r="M7" s="7">
        <f>L7-$B$2</f>
        <v>4.5</v>
      </c>
    </row>
    <row r="8" spans="1:13" x14ac:dyDescent="0.2">
      <c r="A8" s="1" t="s">
        <v>4</v>
      </c>
      <c r="B8" s="1">
        <f>AVERAGE(24,25)</f>
        <v>24.5</v>
      </c>
      <c r="C8" s="7">
        <f>B8-$B$2</f>
        <v>7.5</v>
      </c>
      <c r="D8" s="1" t="s">
        <v>4</v>
      </c>
      <c r="E8" s="1">
        <v>21</v>
      </c>
      <c r="F8" s="7">
        <f>E8-$B$2</f>
        <v>4</v>
      </c>
      <c r="H8" s="1" t="s">
        <v>4</v>
      </c>
      <c r="I8" s="1">
        <f>AVERAGE(24,25)</f>
        <v>24.5</v>
      </c>
      <c r="J8" s="7">
        <f>I8-$B$2</f>
        <v>7.5</v>
      </c>
      <c r="K8" s="1" t="s">
        <v>4</v>
      </c>
      <c r="L8" s="1">
        <f>AVERAGE(21,22)</f>
        <v>21.5</v>
      </c>
      <c r="M8" s="7">
        <f>L8-$B$2</f>
        <v>4.5</v>
      </c>
    </row>
    <row r="9" spans="1:13" x14ac:dyDescent="0.2">
      <c r="A9" s="3" t="s">
        <v>6</v>
      </c>
      <c r="B9" s="2"/>
      <c r="C9" s="7" t="s">
        <v>10</v>
      </c>
      <c r="D9" s="3" t="s">
        <v>7</v>
      </c>
      <c r="E9" s="2"/>
      <c r="F9" s="7" t="s">
        <v>10</v>
      </c>
      <c r="H9" s="3" t="s">
        <v>6</v>
      </c>
      <c r="I9" s="2"/>
      <c r="J9" s="7" t="s">
        <v>10</v>
      </c>
      <c r="K9" s="3" t="s">
        <v>7</v>
      </c>
      <c r="L9" s="2"/>
      <c r="M9" s="7" t="s">
        <v>10</v>
      </c>
    </row>
    <row r="10" spans="1:13" x14ac:dyDescent="0.2">
      <c r="A10" s="2" t="s">
        <v>0</v>
      </c>
      <c r="B10" s="2">
        <f>AVERAGE(69,70)</f>
        <v>69.5</v>
      </c>
      <c r="C10" s="7">
        <f>B10-B4</f>
        <v>46</v>
      </c>
      <c r="D10" s="2" t="s">
        <v>0</v>
      </c>
      <c r="E10" s="2">
        <v>42</v>
      </c>
      <c r="F10" s="7">
        <f>E10-E4</f>
        <v>21.5</v>
      </c>
      <c r="H10" s="2" t="s">
        <v>0</v>
      </c>
      <c r="I10" s="2">
        <v>70</v>
      </c>
      <c r="J10" s="7">
        <f>I10-I4</f>
        <v>46</v>
      </c>
      <c r="K10" s="2" t="s">
        <v>0</v>
      </c>
      <c r="L10" s="2">
        <v>43</v>
      </c>
      <c r="M10" s="7">
        <f>L10-L4</f>
        <v>22.5</v>
      </c>
    </row>
    <row r="11" spans="1:13" x14ac:dyDescent="0.2">
      <c r="A11" s="2" t="s">
        <v>1</v>
      </c>
      <c r="B11" s="2">
        <v>108</v>
      </c>
      <c r="C11" s="7">
        <f>B11-B5</f>
        <v>84.5</v>
      </c>
      <c r="D11" s="2" t="s">
        <v>1</v>
      </c>
      <c r="E11" s="2">
        <v>46</v>
      </c>
      <c r="F11" s="7">
        <f>E11-E5</f>
        <v>25.5</v>
      </c>
      <c r="H11" s="2" t="s">
        <v>1</v>
      </c>
      <c r="I11" s="2">
        <v>110</v>
      </c>
      <c r="J11" s="7">
        <f>I11-I5</f>
        <v>86</v>
      </c>
      <c r="K11" s="2" t="s">
        <v>1</v>
      </c>
      <c r="L11" s="2">
        <f>AVERAGE(47,48)</f>
        <v>47.5</v>
      </c>
      <c r="M11" s="7">
        <f>L11-L5</f>
        <v>27</v>
      </c>
    </row>
    <row r="12" spans="1:13" x14ac:dyDescent="0.2">
      <c r="A12" s="2" t="s">
        <v>2</v>
      </c>
      <c r="B12" s="2">
        <v>160</v>
      </c>
      <c r="C12" s="7">
        <f>B12-B6</f>
        <v>136.5</v>
      </c>
      <c r="D12" s="2" t="s">
        <v>2</v>
      </c>
      <c r="E12" s="2">
        <v>69</v>
      </c>
      <c r="F12" s="7">
        <f>E12-E6</f>
        <v>48.5</v>
      </c>
      <c r="H12" s="2" t="s">
        <v>2</v>
      </c>
      <c r="I12" s="2">
        <v>160</v>
      </c>
      <c r="J12" s="7">
        <f>I12-I6</f>
        <v>136</v>
      </c>
      <c r="K12" s="2" t="s">
        <v>2</v>
      </c>
      <c r="L12" s="2">
        <v>69</v>
      </c>
      <c r="M12" s="7">
        <f>L12-L6</f>
        <v>48</v>
      </c>
    </row>
    <row r="13" spans="1:13" x14ac:dyDescent="0.2">
      <c r="A13" s="2" t="s">
        <v>3</v>
      </c>
      <c r="B13" s="2" t="s">
        <v>14</v>
      </c>
      <c r="C13" s="7" t="s">
        <v>15</v>
      </c>
      <c r="D13" s="2" t="s">
        <v>3</v>
      </c>
      <c r="E13" s="2">
        <f>AVERAGE(142,155)</f>
        <v>148.5</v>
      </c>
      <c r="F13" s="7">
        <f t="shared" ref="F11:F13" si="0">E13-E7</f>
        <v>128</v>
      </c>
      <c r="H13" s="2" t="s">
        <v>3</v>
      </c>
      <c r="I13" s="2" t="s">
        <v>14</v>
      </c>
      <c r="J13" s="7" t="s">
        <v>15</v>
      </c>
      <c r="K13" s="2" t="s">
        <v>3</v>
      </c>
      <c r="L13" s="2">
        <f>AVERAGE(147,148)</f>
        <v>147.5</v>
      </c>
      <c r="M13" s="7">
        <f t="shared" ref="M13" si="1">L13-L7</f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RTX 2070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Queirós Da Silva Adriano</dc:creator>
  <cp:lastModifiedBy>Queirós Da Silva Adriano</cp:lastModifiedBy>
  <dcterms:created xsi:type="dcterms:W3CDTF">2026-09-14T13:23:51Z</dcterms:created>
  <dcterms:modified xsi:type="dcterms:W3CDTF">2026-09-14T16:21:44Z</dcterms:modified>
</cp:coreProperties>
</file>