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riano/Library/CloudStorage/Nextcloud-nxt.dyadixs.com-AdrianoJoséQueirósdaSilva/HESGE/20-TravailBachelor/03-Donnees/"/>
    </mc:Choice>
  </mc:AlternateContent>
  <xr:revisionPtr revIDLastSave="0" documentId="13_ncr:1_{D1913C46-5A54-124D-A8AB-8885C3B1CD35}" xr6:coauthVersionLast="47" xr6:coauthVersionMax="47" xr10:uidLastSave="{00000000-0000-0000-0000-000000000000}"/>
  <bookViews>
    <workbookView xWindow="1080" yWindow="1160" windowWidth="21420" windowHeight="16380" firstSheet="7" activeTab="10" xr2:uid="{8E754DE0-1BEE-B244-A1EF-3190E85B1CFD}"/>
  </bookViews>
  <sheets>
    <sheet name="C-Meridian-60FPS" sheetId="1" r:id="rId1"/>
    <sheet name="C-Meridian-60FPS-FSRCNNX16-2x" sheetId="10" r:id="rId2"/>
    <sheet name="C-Meridian24FPS" sheetId="3" r:id="rId3"/>
    <sheet name="C-Meridian-24FPS-FSRCNNX16" sheetId="21" r:id="rId4"/>
    <sheet name="A-BBB60FPS" sheetId="4" r:id="rId5"/>
    <sheet name="A-BBB60FPS-FSRCNNX16-2x" sheetId="19" r:id="rId6"/>
    <sheet name="A-BBB60FPS-ANIMEJaNaiBAL-2x" sheetId="20" r:id="rId7"/>
    <sheet name="A-BBB24FPS" sheetId="6" r:id="rId8"/>
    <sheet name="A-BBB24FPS-FSRCNNX16-2x" sheetId="15" r:id="rId9"/>
    <sheet name="A-BBB24FPS-ANIMEJaNaiBAL-2x" sheetId="18" r:id="rId10"/>
    <sheet name="EXTRAVAL" sheetId="9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" i="9" l="1"/>
  <c r="AA2" i="9"/>
  <c r="X2" i="9"/>
  <c r="U2" i="9"/>
  <c r="U3" i="9"/>
  <c r="AA3" i="9"/>
  <c r="X3" i="9"/>
  <c r="X4" i="9" s="1"/>
  <c r="X5" i="9" s="1"/>
  <c r="C5" i="9"/>
  <c r="F5" i="9"/>
  <c r="I5" i="9"/>
  <c r="L3" i="9"/>
  <c r="L4" i="9" s="1"/>
  <c r="L5" i="9" s="1"/>
  <c r="R5" i="9"/>
  <c r="R3" i="9"/>
  <c r="R2" i="9"/>
  <c r="L2" i="9"/>
  <c r="F3" i="9"/>
  <c r="F4" i="9" s="1"/>
  <c r="AA4" i="9" l="1"/>
  <c r="AA5" i="9" s="1"/>
  <c r="U4" i="9"/>
  <c r="U5" i="9" s="1"/>
  <c r="R4" i="9"/>
  <c r="J5" i="20" l="1"/>
  <c r="H5" i="21" l="1"/>
  <c r="G5" i="21"/>
  <c r="G2" i="21"/>
  <c r="I2" i="21" s="1"/>
  <c r="J2" i="21" s="1"/>
  <c r="H5" i="10"/>
  <c r="G5" i="10"/>
  <c r="G2" i="10"/>
  <c r="I2" i="10" s="1"/>
  <c r="J2" i="10" s="1"/>
  <c r="H5" i="20"/>
  <c r="G5" i="20"/>
  <c r="G2" i="20"/>
  <c r="I2" i="20" s="1"/>
  <c r="J2" i="20" s="1"/>
  <c r="H5" i="19"/>
  <c r="G5" i="19"/>
  <c r="G2" i="19"/>
  <c r="I2" i="19" s="1"/>
  <c r="J2" i="19" s="1"/>
  <c r="H5" i="18"/>
  <c r="G5" i="18"/>
  <c r="G2" i="18"/>
  <c r="I2" i="18" s="1"/>
  <c r="J2" i="18" s="1"/>
  <c r="G2" i="15"/>
  <c r="I2" i="15" s="1"/>
  <c r="J2" i="15" s="1"/>
  <c r="G5" i="15"/>
  <c r="H5" i="15"/>
  <c r="H2" i="6"/>
  <c r="H4" i="6"/>
  <c r="H6" i="6"/>
  <c r="H2" i="4"/>
  <c r="H4" i="4"/>
  <c r="H5" i="4"/>
  <c r="H6" i="4"/>
  <c r="H5" i="3"/>
  <c r="H6" i="3"/>
  <c r="H2" i="1"/>
  <c r="H6" i="1"/>
  <c r="I5" i="21" l="1"/>
  <c r="J5" i="21" s="1"/>
  <c r="I5" i="10"/>
  <c r="J5" i="10" s="1"/>
  <c r="I5" i="20"/>
  <c r="I5" i="19"/>
  <c r="J5" i="19" s="1"/>
  <c r="I5" i="18"/>
  <c r="J5" i="18" s="1"/>
  <c r="I5" i="15"/>
  <c r="J5" i="15" s="1"/>
  <c r="O4" i="9" l="1"/>
  <c r="O3" i="9"/>
  <c r="O2" i="9"/>
  <c r="G5" i="4"/>
  <c r="I5" i="4" s="1"/>
  <c r="J5" i="4" s="1"/>
  <c r="I3" i="9"/>
  <c r="C3" i="9"/>
  <c r="C4" i="9" s="1"/>
  <c r="G6" i="6"/>
  <c r="I6" i="6" s="1"/>
  <c r="G5" i="6"/>
  <c r="I5" i="6" s="1"/>
  <c r="G4" i="6"/>
  <c r="I4" i="6" s="1"/>
  <c r="G2" i="6"/>
  <c r="I2" i="6" s="1"/>
  <c r="G6" i="4"/>
  <c r="I6" i="4" s="1"/>
  <c r="J6" i="4" s="1"/>
  <c r="G4" i="4"/>
  <c r="I4" i="4" s="1"/>
  <c r="J4" i="4" s="1"/>
  <c r="G2" i="4"/>
  <c r="I2" i="4" s="1"/>
  <c r="J2" i="4" s="1"/>
  <c r="G6" i="3"/>
  <c r="G5" i="3"/>
  <c r="I5" i="3" s="1"/>
  <c r="G4" i="3"/>
  <c r="I4" i="3" s="1"/>
  <c r="G2" i="3"/>
  <c r="I2" i="3" s="1"/>
  <c r="G6" i="1"/>
  <c r="G5" i="1"/>
  <c r="I5" i="1" s="1"/>
  <c r="G4" i="1"/>
  <c r="I4" i="1" s="1"/>
  <c r="G2" i="1"/>
  <c r="I2" i="1" s="1"/>
  <c r="I6" i="3" l="1"/>
  <c r="I6" i="1"/>
  <c r="I4" i="9"/>
</calcChain>
</file>

<file path=xl/sharedStrings.xml><?xml version="1.0" encoding="utf-8"?>
<sst xmlns="http://schemas.openxmlformats.org/spreadsheetml/2006/main" count="316" uniqueCount="37">
  <si>
    <t>Avg</t>
  </si>
  <si>
    <t>360p</t>
  </si>
  <si>
    <t>720p</t>
  </si>
  <si>
    <t>480p</t>
  </si>
  <si>
    <t>1080p</t>
  </si>
  <si>
    <t>4k</t>
  </si>
  <si>
    <t>value</t>
  </si>
  <si>
    <t>W</t>
  </si>
  <si>
    <t>PC W</t>
  </si>
  <si>
    <t>value 4k</t>
  </si>
  <si>
    <t>value 1080</t>
  </si>
  <si>
    <t>value 720p</t>
  </si>
  <si>
    <t>value 480p</t>
  </si>
  <si>
    <t>value 360p</t>
  </si>
  <si>
    <t>GPU</t>
  </si>
  <si>
    <t>A-Sollevante-1080p-24FPS</t>
  </si>
  <si>
    <t>Without GPU</t>
  </si>
  <si>
    <t>NA</t>
  </si>
  <si>
    <t>AVERGAGE COMPUTER</t>
  </si>
  <si>
    <t>MIN COMPUTER</t>
  </si>
  <si>
    <t>GPU AVERAGE</t>
  </si>
  <si>
    <t>MAX COMPUTER</t>
  </si>
  <si>
    <t>MEDIAN COMPUTER</t>
  </si>
  <si>
    <t>PC WITH GPU IDLE</t>
  </si>
  <si>
    <t>PC Without GPU</t>
  </si>
  <si>
    <t>VALUES WITH MPV OPEN</t>
  </si>
  <si>
    <t>value 1080p</t>
  </si>
  <si>
    <t>value 480P</t>
  </si>
  <si>
    <t>value 420p</t>
  </si>
  <si>
    <t>A-Sollevante-1080p-24FPS-AnimeJaNaiBAL-2x</t>
  </si>
  <si>
    <t>A-Sollevante-360p-24FPS-AnimeJaNaiBAL-2x</t>
  </si>
  <si>
    <t>A-Sollevante-360p-24FPS</t>
  </si>
  <si>
    <t>value 360p (NO 4k)</t>
  </si>
  <si>
    <t>C-Meridian-60FPS-FSRCNNX8-2x -360p</t>
  </si>
  <si>
    <t>C-Meridian-24FPS-FSRCNNX8-2x -360p</t>
  </si>
  <si>
    <t>C-Meridian-24FPS-FSRCNNX8-2x -1080p</t>
  </si>
  <si>
    <t>C-Meridian-60FPS-FSRCNNX8-2x -1080p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</si>
</sst>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23D07F-3AB1-FE4E-83F6-25D06017EBE2}">
  <we:reference id="WA200011056" version="1.0.0.2" store="Omex" storeType="OMEX"/>
  <we:alternateReferences>
    <we:reference id="WA200011056" version="1.0.0.2" store="WA200011056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4C13D-1FF9-9149-8121-F088AE6A4503}">
  <dimension ref="A1:I121"/>
  <sheetViews>
    <sheetView workbookViewId="0">
      <selection activeCell="A2" sqref="A2"/>
    </sheetView>
  </sheetViews>
  <sheetFormatPr baseColWidth="10" defaultRowHeight="16" x14ac:dyDescent="0.2"/>
  <cols>
    <col min="2" max="2" width="13.1640625" bestFit="1" customWidth="1"/>
    <col min="7" max="7" width="11.5" customWidth="1"/>
    <col min="9" max="9" width="14.5" customWidth="1"/>
  </cols>
  <sheetData>
    <row r="1" spans="1:9" x14ac:dyDescent="0.2">
      <c r="A1" t="s">
        <v>13</v>
      </c>
      <c r="B1" t="s">
        <v>27</v>
      </c>
      <c r="C1" t="s">
        <v>11</v>
      </c>
      <c r="D1" t="s">
        <v>26</v>
      </c>
      <c r="E1" t="s">
        <v>9</v>
      </c>
      <c r="F1" t="s">
        <v>0</v>
      </c>
      <c r="G1" t="s">
        <v>8</v>
      </c>
      <c r="H1" t="s">
        <v>14</v>
      </c>
      <c r="I1" t="s">
        <v>16</v>
      </c>
    </row>
    <row r="2" spans="1:9" x14ac:dyDescent="0.2">
      <c r="A2">
        <v>113.36</v>
      </c>
      <c r="B2" t="s">
        <v>17</v>
      </c>
      <c r="C2">
        <v>120.74</v>
      </c>
      <c r="D2">
        <v>118.17</v>
      </c>
      <c r="E2">
        <v>120.81</v>
      </c>
      <c r="F2" t="s">
        <v>1</v>
      </c>
      <c r="G2">
        <f>AVERAGE(A:A)</f>
        <v>117.31683333333336</v>
      </c>
      <c r="H2">
        <f>AVERAGE(19,22)</f>
        <v>20.5</v>
      </c>
      <c r="I2">
        <f t="shared" ref="I2:I5" si="0">G2-H2</f>
        <v>96.816833333333363</v>
      </c>
    </row>
    <row r="3" spans="1:9" x14ac:dyDescent="0.2">
      <c r="A3">
        <v>113.36</v>
      </c>
      <c r="C3">
        <v>120.74</v>
      </c>
      <c r="D3">
        <v>118.17</v>
      </c>
      <c r="E3">
        <v>120.81</v>
      </c>
      <c r="F3" t="s">
        <v>3</v>
      </c>
      <c r="G3" t="s">
        <v>17</v>
      </c>
      <c r="H3" t="s">
        <v>17</v>
      </c>
      <c r="I3" t="s">
        <v>17</v>
      </c>
    </row>
    <row r="4" spans="1:9" x14ac:dyDescent="0.2">
      <c r="A4">
        <v>120.92</v>
      </c>
      <c r="C4">
        <v>117.82</v>
      </c>
      <c r="D4">
        <v>121.26</v>
      </c>
      <c r="E4">
        <v>127.04</v>
      </c>
      <c r="F4" t="s">
        <v>2</v>
      </c>
      <c r="G4">
        <f>AVERAGE(C:C)</f>
        <v>123.34310924369744</v>
      </c>
      <c r="H4">
        <v>22</v>
      </c>
      <c r="I4">
        <f t="shared" si="0"/>
        <v>101.34310924369744</v>
      </c>
    </row>
    <row r="5" spans="1:9" x14ac:dyDescent="0.2">
      <c r="A5">
        <v>120.92</v>
      </c>
      <c r="C5">
        <v>117.82</v>
      </c>
      <c r="D5">
        <v>121.26</v>
      </c>
      <c r="E5">
        <v>127.04</v>
      </c>
      <c r="F5" t="s">
        <v>4</v>
      </c>
      <c r="G5">
        <f>AVERAGE(D:D)</f>
        <v>121.49466666666662</v>
      </c>
      <c r="H5">
        <v>23</v>
      </c>
      <c r="I5">
        <f t="shared" si="0"/>
        <v>98.494666666666618</v>
      </c>
    </row>
    <row r="6" spans="1:9" x14ac:dyDescent="0.2">
      <c r="A6">
        <v>109.96</v>
      </c>
      <c r="C6">
        <v>119.78</v>
      </c>
      <c r="D6">
        <v>127.98</v>
      </c>
      <c r="E6">
        <v>121.44</v>
      </c>
      <c r="F6" t="s">
        <v>5</v>
      </c>
      <c r="G6">
        <f>AVERAGE(E:E)</f>
        <v>125.99508333333327</v>
      </c>
      <c r="H6">
        <f>AVERAGE(23,29)</f>
        <v>26</v>
      </c>
      <c r="I6">
        <f>G6-H6</f>
        <v>99.99508333333327</v>
      </c>
    </row>
    <row r="7" spans="1:9" x14ac:dyDescent="0.2">
      <c r="A7">
        <v>109.96</v>
      </c>
      <c r="C7">
        <v>119.78</v>
      </c>
      <c r="D7">
        <v>127.98</v>
      </c>
      <c r="E7">
        <v>121.44</v>
      </c>
    </row>
    <row r="8" spans="1:9" x14ac:dyDescent="0.2">
      <c r="A8">
        <v>108.3</v>
      </c>
      <c r="C8">
        <v>127.59</v>
      </c>
      <c r="D8">
        <v>123.8</v>
      </c>
      <c r="E8">
        <v>124.81</v>
      </c>
    </row>
    <row r="9" spans="1:9" x14ac:dyDescent="0.2">
      <c r="A9">
        <v>108.3</v>
      </c>
      <c r="C9">
        <v>127.59</v>
      </c>
      <c r="D9">
        <v>123.8</v>
      </c>
      <c r="E9">
        <v>124.81</v>
      </c>
    </row>
    <row r="10" spans="1:9" x14ac:dyDescent="0.2">
      <c r="A10">
        <v>123.85</v>
      </c>
      <c r="C10">
        <v>120.06</v>
      </c>
      <c r="D10">
        <v>122.37</v>
      </c>
      <c r="E10">
        <v>125.66</v>
      </c>
    </row>
    <row r="11" spans="1:9" x14ac:dyDescent="0.2">
      <c r="A11">
        <v>123.85</v>
      </c>
      <c r="C11">
        <v>120.06</v>
      </c>
      <c r="D11">
        <v>122.37</v>
      </c>
      <c r="E11">
        <v>125.66</v>
      </c>
    </row>
    <row r="12" spans="1:9" x14ac:dyDescent="0.2">
      <c r="A12">
        <v>115.81</v>
      </c>
      <c r="C12">
        <v>122.07</v>
      </c>
      <c r="D12">
        <v>128.18</v>
      </c>
      <c r="E12">
        <v>122.24</v>
      </c>
    </row>
    <row r="13" spans="1:9" x14ac:dyDescent="0.2">
      <c r="A13">
        <v>115.81</v>
      </c>
      <c r="C13">
        <v>122.07</v>
      </c>
      <c r="D13">
        <v>128.18</v>
      </c>
      <c r="E13">
        <v>122.24</v>
      </c>
    </row>
    <row r="14" spans="1:9" x14ac:dyDescent="0.2">
      <c r="A14">
        <v>115.81</v>
      </c>
      <c r="C14">
        <v>125.27</v>
      </c>
      <c r="D14">
        <v>118.19</v>
      </c>
      <c r="E14">
        <v>117.43</v>
      </c>
    </row>
    <row r="15" spans="1:9" x14ac:dyDescent="0.2">
      <c r="A15">
        <v>115.81</v>
      </c>
      <c r="C15">
        <v>125.27</v>
      </c>
      <c r="D15">
        <v>118.19</v>
      </c>
      <c r="E15">
        <v>117.43</v>
      </c>
    </row>
    <row r="16" spans="1:9" x14ac:dyDescent="0.2">
      <c r="A16">
        <v>115.08</v>
      </c>
      <c r="C16">
        <v>116.14</v>
      </c>
      <c r="D16">
        <v>118.5</v>
      </c>
      <c r="E16">
        <v>130.94</v>
      </c>
    </row>
    <row r="17" spans="1:5" x14ac:dyDescent="0.2">
      <c r="A17">
        <v>115.08</v>
      </c>
      <c r="C17">
        <v>116.14</v>
      </c>
      <c r="D17">
        <v>118.5</v>
      </c>
      <c r="E17">
        <v>130.94</v>
      </c>
    </row>
    <row r="18" spans="1:5" x14ac:dyDescent="0.2">
      <c r="A18">
        <v>116.43</v>
      </c>
      <c r="C18">
        <v>117.76</v>
      </c>
      <c r="D18">
        <v>121.78</v>
      </c>
      <c r="E18">
        <v>132.06</v>
      </c>
    </row>
    <row r="19" spans="1:5" x14ac:dyDescent="0.2">
      <c r="A19">
        <v>116.43</v>
      </c>
      <c r="C19">
        <v>117.76</v>
      </c>
      <c r="D19">
        <v>121.78</v>
      </c>
      <c r="E19">
        <v>132.06</v>
      </c>
    </row>
    <row r="20" spans="1:5" x14ac:dyDescent="0.2">
      <c r="A20">
        <v>114.87</v>
      </c>
      <c r="C20">
        <v>122.84</v>
      </c>
      <c r="D20">
        <v>118.83</v>
      </c>
      <c r="E20">
        <v>117.92</v>
      </c>
    </row>
    <row r="21" spans="1:5" x14ac:dyDescent="0.2">
      <c r="A21">
        <v>114.87</v>
      </c>
      <c r="C21">
        <v>122.84</v>
      </c>
      <c r="D21">
        <v>118.83</v>
      </c>
      <c r="E21">
        <v>117.92</v>
      </c>
    </row>
    <row r="22" spans="1:5" x14ac:dyDescent="0.2">
      <c r="A22">
        <v>127.04</v>
      </c>
      <c r="C22">
        <v>118.07</v>
      </c>
      <c r="D22">
        <v>117.76</v>
      </c>
      <c r="E22">
        <v>121.31</v>
      </c>
    </row>
    <row r="23" spans="1:5" x14ac:dyDescent="0.2">
      <c r="A23">
        <v>127.04</v>
      </c>
      <c r="C23">
        <v>118.07</v>
      </c>
      <c r="D23">
        <v>117.76</v>
      </c>
      <c r="E23">
        <v>121.31</v>
      </c>
    </row>
    <row r="24" spans="1:5" x14ac:dyDescent="0.2">
      <c r="A24">
        <v>122.43</v>
      </c>
      <c r="C24">
        <v>117.2</v>
      </c>
      <c r="D24">
        <v>128.47</v>
      </c>
      <c r="E24">
        <v>132.57</v>
      </c>
    </row>
    <row r="25" spans="1:5" x14ac:dyDescent="0.2">
      <c r="A25">
        <v>122.43</v>
      </c>
      <c r="C25">
        <v>117.2</v>
      </c>
      <c r="D25">
        <v>128.47</v>
      </c>
      <c r="E25">
        <v>132.57</v>
      </c>
    </row>
    <row r="26" spans="1:5" x14ac:dyDescent="0.2">
      <c r="A26">
        <v>115.02</v>
      </c>
      <c r="C26">
        <v>127.75</v>
      </c>
      <c r="D26">
        <v>121.94</v>
      </c>
      <c r="E26">
        <v>125.82</v>
      </c>
    </row>
    <row r="27" spans="1:5" x14ac:dyDescent="0.2">
      <c r="A27">
        <v>115.02</v>
      </c>
      <c r="C27">
        <v>127.75</v>
      </c>
      <c r="D27">
        <v>121.94</v>
      </c>
      <c r="E27">
        <v>125.82</v>
      </c>
    </row>
    <row r="28" spans="1:5" x14ac:dyDescent="0.2">
      <c r="A28">
        <v>118.62</v>
      </c>
      <c r="C28">
        <v>118.61</v>
      </c>
      <c r="D28">
        <v>119.95</v>
      </c>
      <c r="E28">
        <v>119.23</v>
      </c>
    </row>
    <row r="29" spans="1:5" x14ac:dyDescent="0.2">
      <c r="A29">
        <v>118.62</v>
      </c>
      <c r="C29">
        <v>118.61</v>
      </c>
      <c r="D29">
        <v>119.95</v>
      </c>
      <c r="E29">
        <v>119.23</v>
      </c>
    </row>
    <row r="30" spans="1:5" x14ac:dyDescent="0.2">
      <c r="A30">
        <v>115.63</v>
      </c>
      <c r="C30">
        <v>118.59</v>
      </c>
      <c r="D30">
        <v>125.96</v>
      </c>
      <c r="E30">
        <v>121.76</v>
      </c>
    </row>
    <row r="31" spans="1:5" x14ac:dyDescent="0.2">
      <c r="A31">
        <v>115.63</v>
      </c>
      <c r="C31">
        <v>118.59</v>
      </c>
      <c r="D31">
        <v>125.96</v>
      </c>
      <c r="E31">
        <v>121.76</v>
      </c>
    </row>
    <row r="32" spans="1:5" x14ac:dyDescent="0.2">
      <c r="A32">
        <v>114.51</v>
      </c>
      <c r="C32">
        <v>154.08000000000001</v>
      </c>
      <c r="D32">
        <v>118.83</v>
      </c>
      <c r="E32">
        <v>125.58</v>
      </c>
    </row>
    <row r="33" spans="1:5" x14ac:dyDescent="0.2">
      <c r="A33">
        <v>114.51</v>
      </c>
      <c r="C33">
        <v>154.08000000000001</v>
      </c>
      <c r="D33">
        <v>118.83</v>
      </c>
      <c r="E33">
        <v>125.58</v>
      </c>
    </row>
    <row r="34" spans="1:5" x14ac:dyDescent="0.2">
      <c r="A34">
        <v>119.04</v>
      </c>
      <c r="C34">
        <v>166.25</v>
      </c>
      <c r="D34">
        <v>118.7</v>
      </c>
      <c r="E34">
        <v>117.43</v>
      </c>
    </row>
    <row r="35" spans="1:5" x14ac:dyDescent="0.2">
      <c r="A35">
        <v>119.04</v>
      </c>
      <c r="C35">
        <v>166.25</v>
      </c>
      <c r="D35">
        <v>118.7</v>
      </c>
      <c r="E35">
        <v>117.43</v>
      </c>
    </row>
    <row r="36" spans="1:5" x14ac:dyDescent="0.2">
      <c r="A36">
        <v>133.47999999999999</v>
      </c>
      <c r="C36">
        <v>151.54</v>
      </c>
      <c r="D36">
        <v>120.79</v>
      </c>
      <c r="E36">
        <v>120.32</v>
      </c>
    </row>
    <row r="37" spans="1:5" x14ac:dyDescent="0.2">
      <c r="A37">
        <v>133.47999999999999</v>
      </c>
      <c r="C37">
        <v>151.54</v>
      </c>
      <c r="D37">
        <v>120.79</v>
      </c>
      <c r="E37">
        <v>120.32</v>
      </c>
    </row>
    <row r="38" spans="1:5" x14ac:dyDescent="0.2">
      <c r="A38">
        <v>116.38</v>
      </c>
      <c r="C38">
        <v>146.51</v>
      </c>
      <c r="D38">
        <v>115.78</v>
      </c>
      <c r="E38">
        <v>118.24</v>
      </c>
    </row>
    <row r="39" spans="1:5" x14ac:dyDescent="0.2">
      <c r="A39">
        <v>116.38</v>
      </c>
      <c r="C39">
        <v>146.51</v>
      </c>
      <c r="D39">
        <v>115.78</v>
      </c>
      <c r="E39">
        <v>118.24</v>
      </c>
    </row>
    <row r="40" spans="1:5" x14ac:dyDescent="0.2">
      <c r="A40">
        <v>117.72</v>
      </c>
      <c r="C40">
        <v>119.06</v>
      </c>
      <c r="D40">
        <v>120.04</v>
      </c>
      <c r="E40">
        <v>127.99</v>
      </c>
    </row>
    <row r="41" spans="1:5" x14ac:dyDescent="0.2">
      <c r="A41">
        <v>117.72</v>
      </c>
      <c r="C41">
        <v>119.06</v>
      </c>
      <c r="D41">
        <v>120.04</v>
      </c>
      <c r="E41">
        <v>127.99</v>
      </c>
    </row>
    <row r="42" spans="1:5" x14ac:dyDescent="0.2">
      <c r="A42">
        <v>124.2</v>
      </c>
      <c r="C42">
        <v>119.57</v>
      </c>
      <c r="D42">
        <v>124.11</v>
      </c>
      <c r="E42">
        <v>125.38</v>
      </c>
    </row>
    <row r="43" spans="1:5" x14ac:dyDescent="0.2">
      <c r="A43">
        <v>124.2</v>
      </c>
      <c r="C43">
        <v>119.57</v>
      </c>
      <c r="D43">
        <v>124.11</v>
      </c>
      <c r="E43">
        <v>125.38</v>
      </c>
    </row>
    <row r="44" spans="1:5" x14ac:dyDescent="0.2">
      <c r="A44">
        <v>116.53</v>
      </c>
      <c r="C44">
        <v>118.9</v>
      </c>
      <c r="D44">
        <v>126.9</v>
      </c>
      <c r="E44">
        <v>123.14</v>
      </c>
    </row>
    <row r="45" spans="1:5" x14ac:dyDescent="0.2">
      <c r="A45">
        <v>116.53</v>
      </c>
      <c r="C45">
        <v>118.9</v>
      </c>
      <c r="D45">
        <v>126.9</v>
      </c>
      <c r="E45">
        <v>123.14</v>
      </c>
    </row>
    <row r="46" spans="1:5" x14ac:dyDescent="0.2">
      <c r="A46">
        <v>110.47</v>
      </c>
      <c r="C46">
        <v>124.53</v>
      </c>
      <c r="D46">
        <v>118.41</v>
      </c>
      <c r="E46">
        <v>112.15</v>
      </c>
    </row>
    <row r="47" spans="1:5" x14ac:dyDescent="0.2">
      <c r="A47">
        <v>110.47</v>
      </c>
      <c r="C47">
        <v>124.53</v>
      </c>
      <c r="D47">
        <v>118.41</v>
      </c>
      <c r="E47">
        <v>112.15</v>
      </c>
    </row>
    <row r="48" spans="1:5" x14ac:dyDescent="0.2">
      <c r="A48">
        <v>118.57</v>
      </c>
      <c r="C48">
        <v>117.53</v>
      </c>
      <c r="D48">
        <v>125.78</v>
      </c>
      <c r="E48">
        <v>158.49</v>
      </c>
    </row>
    <row r="49" spans="1:5" x14ac:dyDescent="0.2">
      <c r="A49">
        <v>118.57</v>
      </c>
      <c r="C49">
        <v>117.53</v>
      </c>
      <c r="D49">
        <v>125.78</v>
      </c>
      <c r="E49">
        <v>158.49</v>
      </c>
    </row>
    <row r="50" spans="1:5" x14ac:dyDescent="0.2">
      <c r="A50">
        <v>115.93</v>
      </c>
      <c r="C50">
        <v>123.12</v>
      </c>
      <c r="D50">
        <v>123.88</v>
      </c>
      <c r="E50">
        <v>129.86000000000001</v>
      </c>
    </row>
    <row r="51" spans="1:5" x14ac:dyDescent="0.2">
      <c r="A51">
        <v>115.93</v>
      </c>
      <c r="C51">
        <v>123.12</v>
      </c>
      <c r="D51">
        <v>123.88</v>
      </c>
      <c r="E51">
        <v>129.86000000000001</v>
      </c>
    </row>
    <row r="52" spans="1:5" x14ac:dyDescent="0.2">
      <c r="A52">
        <v>116.93</v>
      </c>
      <c r="C52">
        <v>130.28</v>
      </c>
      <c r="D52">
        <v>117.32</v>
      </c>
      <c r="E52">
        <v>118.18</v>
      </c>
    </row>
    <row r="53" spans="1:5" x14ac:dyDescent="0.2">
      <c r="A53">
        <v>116.93</v>
      </c>
      <c r="C53">
        <v>130.28</v>
      </c>
      <c r="D53">
        <v>117.32</v>
      </c>
      <c r="E53">
        <v>118.18</v>
      </c>
    </row>
    <row r="54" spans="1:5" x14ac:dyDescent="0.2">
      <c r="A54">
        <v>120.99</v>
      </c>
      <c r="C54">
        <v>123.41</v>
      </c>
      <c r="D54">
        <v>116.47</v>
      </c>
      <c r="E54">
        <v>122.12</v>
      </c>
    </row>
    <row r="55" spans="1:5" x14ac:dyDescent="0.2">
      <c r="A55">
        <v>120.99</v>
      </c>
      <c r="C55">
        <v>123.41</v>
      </c>
      <c r="D55">
        <v>116.47</v>
      </c>
      <c r="E55">
        <v>122.12</v>
      </c>
    </row>
    <row r="56" spans="1:5" x14ac:dyDescent="0.2">
      <c r="A56">
        <v>115.68</v>
      </c>
      <c r="C56">
        <v>116.48</v>
      </c>
      <c r="D56">
        <v>123.62</v>
      </c>
      <c r="E56">
        <v>116.77</v>
      </c>
    </row>
    <row r="57" spans="1:5" x14ac:dyDescent="0.2">
      <c r="A57">
        <v>115.68</v>
      </c>
      <c r="C57">
        <v>116.48</v>
      </c>
      <c r="D57">
        <v>123.62</v>
      </c>
      <c r="E57">
        <v>116.77</v>
      </c>
    </row>
    <row r="58" spans="1:5" x14ac:dyDescent="0.2">
      <c r="A58">
        <v>116.34</v>
      </c>
      <c r="C58">
        <v>124.74</v>
      </c>
      <c r="D58">
        <v>119.58</v>
      </c>
      <c r="E58">
        <v>126.91</v>
      </c>
    </row>
    <row r="59" spans="1:5" x14ac:dyDescent="0.2">
      <c r="A59">
        <v>116.34</v>
      </c>
      <c r="C59">
        <v>124.74</v>
      </c>
      <c r="D59">
        <v>119.58</v>
      </c>
      <c r="E59">
        <v>126.91</v>
      </c>
    </row>
    <row r="60" spans="1:5" x14ac:dyDescent="0.2">
      <c r="A60">
        <v>122.04</v>
      </c>
      <c r="C60">
        <v>119.18</v>
      </c>
      <c r="D60">
        <v>125.04</v>
      </c>
      <c r="E60">
        <v>133.97</v>
      </c>
    </row>
    <row r="61" spans="1:5" x14ac:dyDescent="0.2">
      <c r="A61">
        <v>122.04</v>
      </c>
      <c r="C61">
        <v>119.18</v>
      </c>
      <c r="D61">
        <v>125.04</v>
      </c>
      <c r="E61">
        <v>133.97</v>
      </c>
    </row>
    <row r="62" spans="1:5" x14ac:dyDescent="0.2">
      <c r="A62">
        <v>116.12</v>
      </c>
      <c r="C62">
        <v>123.69</v>
      </c>
      <c r="D62">
        <v>125.92</v>
      </c>
      <c r="E62">
        <v>124.15</v>
      </c>
    </row>
    <row r="63" spans="1:5" x14ac:dyDescent="0.2">
      <c r="A63">
        <v>116.12</v>
      </c>
      <c r="C63">
        <v>123.69</v>
      </c>
      <c r="D63">
        <v>125.92</v>
      </c>
      <c r="E63">
        <v>124.15</v>
      </c>
    </row>
    <row r="64" spans="1:5" x14ac:dyDescent="0.2">
      <c r="A64">
        <v>115.87</v>
      </c>
      <c r="C64">
        <v>124.65</v>
      </c>
      <c r="D64">
        <v>119.16</v>
      </c>
      <c r="E64">
        <v>119.93</v>
      </c>
    </row>
    <row r="65" spans="1:5" x14ac:dyDescent="0.2">
      <c r="A65">
        <v>115.87</v>
      </c>
      <c r="C65">
        <v>124.65</v>
      </c>
      <c r="D65">
        <v>119.16</v>
      </c>
      <c r="E65">
        <v>119.93</v>
      </c>
    </row>
    <row r="66" spans="1:5" x14ac:dyDescent="0.2">
      <c r="A66">
        <v>118.28</v>
      </c>
      <c r="C66">
        <v>117.25</v>
      </c>
      <c r="D66">
        <v>121.92</v>
      </c>
      <c r="E66">
        <v>127.22</v>
      </c>
    </row>
    <row r="67" spans="1:5" x14ac:dyDescent="0.2">
      <c r="A67">
        <v>118.28</v>
      </c>
      <c r="C67">
        <v>117.25</v>
      </c>
      <c r="D67">
        <v>121.92</v>
      </c>
      <c r="E67">
        <v>127.22</v>
      </c>
    </row>
    <row r="68" spans="1:5" x14ac:dyDescent="0.2">
      <c r="A68">
        <v>114.99</v>
      </c>
      <c r="C68">
        <v>118.99</v>
      </c>
      <c r="D68">
        <v>124.79</v>
      </c>
      <c r="E68">
        <v>154.56</v>
      </c>
    </row>
    <row r="69" spans="1:5" x14ac:dyDescent="0.2">
      <c r="A69">
        <v>114.99</v>
      </c>
      <c r="C69">
        <v>118.99</v>
      </c>
      <c r="D69">
        <v>124.79</v>
      </c>
      <c r="E69">
        <v>154.56</v>
      </c>
    </row>
    <row r="70" spans="1:5" x14ac:dyDescent="0.2">
      <c r="A70">
        <v>114.79</v>
      </c>
      <c r="C70">
        <v>123.1</v>
      </c>
      <c r="D70">
        <v>122.3</v>
      </c>
      <c r="E70">
        <v>125.6</v>
      </c>
    </row>
    <row r="71" spans="1:5" x14ac:dyDescent="0.2">
      <c r="A71">
        <v>114.79</v>
      </c>
      <c r="C71">
        <v>123.1</v>
      </c>
      <c r="D71">
        <v>122.3</v>
      </c>
      <c r="E71">
        <v>125.6</v>
      </c>
    </row>
    <row r="72" spans="1:5" x14ac:dyDescent="0.2">
      <c r="A72">
        <v>125.49</v>
      </c>
      <c r="C72">
        <v>117.16</v>
      </c>
      <c r="D72">
        <v>120.38</v>
      </c>
      <c r="E72">
        <v>128.66999999999999</v>
      </c>
    </row>
    <row r="73" spans="1:5" x14ac:dyDescent="0.2">
      <c r="A73">
        <v>125.49</v>
      </c>
      <c r="C73">
        <v>117.16</v>
      </c>
      <c r="D73">
        <v>120.38</v>
      </c>
      <c r="E73">
        <v>128.66999999999999</v>
      </c>
    </row>
    <row r="74" spans="1:5" x14ac:dyDescent="0.2">
      <c r="A74">
        <v>111.32</v>
      </c>
      <c r="C74">
        <v>116.82</v>
      </c>
      <c r="D74">
        <v>117.59</v>
      </c>
      <c r="E74">
        <v>118.83</v>
      </c>
    </row>
    <row r="75" spans="1:5" x14ac:dyDescent="0.2">
      <c r="A75">
        <v>111.32</v>
      </c>
      <c r="C75">
        <v>116.82</v>
      </c>
      <c r="D75">
        <v>117.59</v>
      </c>
      <c r="E75">
        <v>118.83</v>
      </c>
    </row>
    <row r="76" spans="1:5" x14ac:dyDescent="0.2">
      <c r="A76">
        <v>116.87</v>
      </c>
      <c r="C76">
        <v>121.46</v>
      </c>
      <c r="D76">
        <v>121.32</v>
      </c>
      <c r="E76">
        <v>117.34</v>
      </c>
    </row>
    <row r="77" spans="1:5" x14ac:dyDescent="0.2">
      <c r="A77">
        <v>116.87</v>
      </c>
      <c r="C77">
        <v>121.46</v>
      </c>
      <c r="D77">
        <v>121.32</v>
      </c>
      <c r="E77">
        <v>117.34</v>
      </c>
    </row>
    <row r="78" spans="1:5" x14ac:dyDescent="0.2">
      <c r="A78">
        <v>126.18</v>
      </c>
      <c r="C78">
        <v>117.9</v>
      </c>
      <c r="D78">
        <v>118.79</v>
      </c>
      <c r="E78">
        <v>130.04</v>
      </c>
    </row>
    <row r="79" spans="1:5" x14ac:dyDescent="0.2">
      <c r="A79">
        <v>126.18</v>
      </c>
      <c r="C79">
        <v>117.9</v>
      </c>
      <c r="D79">
        <v>118.79</v>
      </c>
      <c r="E79">
        <v>130.04</v>
      </c>
    </row>
    <row r="80" spans="1:5" x14ac:dyDescent="0.2">
      <c r="A80">
        <v>114.96</v>
      </c>
      <c r="C80">
        <v>117.85</v>
      </c>
      <c r="D80">
        <v>124.35</v>
      </c>
      <c r="E80">
        <v>133.46</v>
      </c>
    </row>
    <row r="81" spans="1:5" x14ac:dyDescent="0.2">
      <c r="A81">
        <v>114.96</v>
      </c>
      <c r="C81">
        <v>117.85</v>
      </c>
      <c r="D81">
        <v>124.35</v>
      </c>
      <c r="E81">
        <v>133.46</v>
      </c>
    </row>
    <row r="82" spans="1:5" x14ac:dyDescent="0.2">
      <c r="A82">
        <v>114.5</v>
      </c>
      <c r="C82">
        <v>127.15</v>
      </c>
      <c r="D82">
        <v>121</v>
      </c>
      <c r="E82">
        <v>127.02</v>
      </c>
    </row>
    <row r="83" spans="1:5" x14ac:dyDescent="0.2">
      <c r="A83">
        <v>114.5</v>
      </c>
      <c r="C83">
        <v>127.15</v>
      </c>
      <c r="D83">
        <v>121</v>
      </c>
      <c r="E83">
        <v>127.02</v>
      </c>
    </row>
    <row r="84" spans="1:5" x14ac:dyDescent="0.2">
      <c r="A84">
        <v>119.33</v>
      </c>
      <c r="C84">
        <v>116.98</v>
      </c>
      <c r="D84">
        <v>121.32</v>
      </c>
      <c r="E84">
        <v>121.14</v>
      </c>
    </row>
    <row r="85" spans="1:5" x14ac:dyDescent="0.2">
      <c r="A85">
        <v>119.33</v>
      </c>
      <c r="C85">
        <v>116.98</v>
      </c>
      <c r="D85">
        <v>121.32</v>
      </c>
      <c r="E85">
        <v>121.14</v>
      </c>
    </row>
    <row r="86" spans="1:5" x14ac:dyDescent="0.2">
      <c r="A86">
        <v>116.57</v>
      </c>
      <c r="C86">
        <v>118.81</v>
      </c>
      <c r="D86">
        <v>122.06</v>
      </c>
      <c r="E86">
        <v>125.3</v>
      </c>
    </row>
    <row r="87" spans="1:5" x14ac:dyDescent="0.2">
      <c r="A87">
        <v>116.57</v>
      </c>
      <c r="C87">
        <v>118.81</v>
      </c>
      <c r="D87">
        <v>122.06</v>
      </c>
      <c r="E87">
        <v>125.3</v>
      </c>
    </row>
    <row r="88" spans="1:5" x14ac:dyDescent="0.2">
      <c r="A88">
        <v>115.19</v>
      </c>
      <c r="C88">
        <v>122.85</v>
      </c>
      <c r="D88">
        <v>122.29</v>
      </c>
      <c r="E88">
        <v>126.31</v>
      </c>
    </row>
    <row r="89" spans="1:5" x14ac:dyDescent="0.2">
      <c r="A89">
        <v>115.19</v>
      </c>
      <c r="C89">
        <v>122.85</v>
      </c>
      <c r="D89">
        <v>122.29</v>
      </c>
      <c r="E89">
        <v>126.31</v>
      </c>
    </row>
    <row r="90" spans="1:5" x14ac:dyDescent="0.2">
      <c r="A90">
        <v>124.62</v>
      </c>
      <c r="C90">
        <v>122.21</v>
      </c>
      <c r="D90">
        <v>119.75</v>
      </c>
      <c r="E90">
        <v>123.01</v>
      </c>
    </row>
    <row r="91" spans="1:5" x14ac:dyDescent="0.2">
      <c r="A91">
        <v>124.62</v>
      </c>
      <c r="C91">
        <v>122.21</v>
      </c>
      <c r="D91">
        <v>119.75</v>
      </c>
      <c r="E91">
        <v>123.01</v>
      </c>
    </row>
    <row r="92" spans="1:5" x14ac:dyDescent="0.2">
      <c r="A92">
        <v>114.21</v>
      </c>
      <c r="C92">
        <v>117.26</v>
      </c>
      <c r="D92">
        <v>129.1</v>
      </c>
      <c r="E92">
        <v>119.72</v>
      </c>
    </row>
    <row r="93" spans="1:5" x14ac:dyDescent="0.2">
      <c r="A93">
        <v>114.21</v>
      </c>
      <c r="C93">
        <v>117.26</v>
      </c>
      <c r="D93">
        <v>129.1</v>
      </c>
      <c r="E93">
        <v>119.72</v>
      </c>
    </row>
    <row r="94" spans="1:5" x14ac:dyDescent="0.2">
      <c r="A94">
        <v>115.79</v>
      </c>
      <c r="C94">
        <v>123.95</v>
      </c>
      <c r="D94">
        <v>116.06</v>
      </c>
      <c r="E94">
        <v>117.06</v>
      </c>
    </row>
    <row r="95" spans="1:5" x14ac:dyDescent="0.2">
      <c r="A95">
        <v>115.79</v>
      </c>
      <c r="C95">
        <v>123.95</v>
      </c>
      <c r="D95">
        <v>116.06</v>
      </c>
      <c r="E95">
        <v>117.06</v>
      </c>
    </row>
    <row r="96" spans="1:5" x14ac:dyDescent="0.2">
      <c r="A96">
        <v>114.8</v>
      </c>
      <c r="C96">
        <v>117.93</v>
      </c>
      <c r="D96">
        <v>121.38</v>
      </c>
      <c r="E96">
        <v>127.5</v>
      </c>
    </row>
    <row r="97" spans="1:5" x14ac:dyDescent="0.2">
      <c r="A97">
        <v>114.8</v>
      </c>
      <c r="C97">
        <v>117.93</v>
      </c>
      <c r="D97">
        <v>121.38</v>
      </c>
      <c r="E97">
        <v>127.5</v>
      </c>
    </row>
    <row r="98" spans="1:5" x14ac:dyDescent="0.2">
      <c r="A98">
        <v>115.77</v>
      </c>
      <c r="C98">
        <v>116.77</v>
      </c>
      <c r="D98">
        <v>126</v>
      </c>
      <c r="E98">
        <v>132.16</v>
      </c>
    </row>
    <row r="99" spans="1:5" x14ac:dyDescent="0.2">
      <c r="A99">
        <v>115.77</v>
      </c>
      <c r="C99">
        <v>116.77</v>
      </c>
      <c r="D99">
        <v>126</v>
      </c>
      <c r="E99">
        <v>132.16</v>
      </c>
    </row>
    <row r="100" spans="1:5" x14ac:dyDescent="0.2">
      <c r="A100">
        <v>113.01</v>
      </c>
      <c r="C100">
        <v>124.74</v>
      </c>
      <c r="D100">
        <v>119.56</v>
      </c>
      <c r="E100">
        <v>122.71</v>
      </c>
    </row>
    <row r="101" spans="1:5" x14ac:dyDescent="0.2">
      <c r="A101">
        <v>113.01</v>
      </c>
      <c r="C101">
        <v>124.74</v>
      </c>
      <c r="D101">
        <v>119.56</v>
      </c>
      <c r="E101">
        <v>122.71</v>
      </c>
    </row>
    <row r="102" spans="1:5" x14ac:dyDescent="0.2">
      <c r="A102">
        <v>119.69</v>
      </c>
      <c r="C102">
        <v>117.74</v>
      </c>
      <c r="D102">
        <v>120.22</v>
      </c>
      <c r="E102">
        <v>125.84</v>
      </c>
    </row>
    <row r="103" spans="1:5" x14ac:dyDescent="0.2">
      <c r="A103">
        <v>119.69</v>
      </c>
      <c r="C103">
        <v>117.74</v>
      </c>
      <c r="D103">
        <v>120.22</v>
      </c>
      <c r="E103">
        <v>125.84</v>
      </c>
    </row>
    <row r="104" spans="1:5" x14ac:dyDescent="0.2">
      <c r="A104">
        <v>114.92</v>
      </c>
      <c r="C104">
        <v>116.19</v>
      </c>
      <c r="D104">
        <v>123.1</v>
      </c>
      <c r="E104">
        <v>120.77</v>
      </c>
    </row>
    <row r="105" spans="1:5" x14ac:dyDescent="0.2">
      <c r="A105">
        <v>114.92</v>
      </c>
      <c r="C105">
        <v>116.19</v>
      </c>
      <c r="D105">
        <v>123.1</v>
      </c>
      <c r="E105">
        <v>120.77</v>
      </c>
    </row>
    <row r="106" spans="1:5" x14ac:dyDescent="0.2">
      <c r="A106">
        <v>115.67</v>
      </c>
      <c r="C106">
        <v>126.33</v>
      </c>
      <c r="D106">
        <v>120.15</v>
      </c>
      <c r="E106">
        <v>148.21</v>
      </c>
    </row>
    <row r="107" spans="1:5" x14ac:dyDescent="0.2">
      <c r="A107">
        <v>115.67</v>
      </c>
      <c r="C107">
        <v>126.33</v>
      </c>
      <c r="D107">
        <v>120.15</v>
      </c>
      <c r="E107">
        <v>148.21</v>
      </c>
    </row>
    <row r="108" spans="1:5" x14ac:dyDescent="0.2">
      <c r="A108">
        <v>110.16</v>
      </c>
      <c r="C108">
        <v>119.5</v>
      </c>
      <c r="D108">
        <v>121.76</v>
      </c>
      <c r="E108">
        <v>126.01</v>
      </c>
    </row>
    <row r="109" spans="1:5" x14ac:dyDescent="0.2">
      <c r="A109">
        <v>110.16</v>
      </c>
      <c r="C109">
        <v>119.5</v>
      </c>
      <c r="D109">
        <v>121.76</v>
      </c>
      <c r="E109">
        <v>126.01</v>
      </c>
    </row>
    <row r="110" spans="1:5" x14ac:dyDescent="0.2">
      <c r="A110">
        <v>122.74</v>
      </c>
      <c r="C110">
        <v>121.38</v>
      </c>
      <c r="D110">
        <v>118.46</v>
      </c>
      <c r="E110">
        <v>127.84</v>
      </c>
    </row>
    <row r="111" spans="1:5" x14ac:dyDescent="0.2">
      <c r="A111">
        <v>122.74</v>
      </c>
      <c r="C111">
        <v>121.38</v>
      </c>
      <c r="D111">
        <v>118.46</v>
      </c>
      <c r="E111">
        <v>127.84</v>
      </c>
    </row>
    <row r="112" spans="1:5" x14ac:dyDescent="0.2">
      <c r="A112">
        <v>115.78</v>
      </c>
      <c r="C112">
        <v>143.44</v>
      </c>
      <c r="D112">
        <v>123.88</v>
      </c>
      <c r="E112">
        <v>117.66</v>
      </c>
    </row>
    <row r="113" spans="1:5" x14ac:dyDescent="0.2">
      <c r="A113">
        <v>115.78</v>
      </c>
      <c r="C113">
        <v>143.44</v>
      </c>
      <c r="D113">
        <v>117.96</v>
      </c>
      <c r="E113">
        <v>117.66</v>
      </c>
    </row>
    <row r="114" spans="1:5" x14ac:dyDescent="0.2">
      <c r="A114">
        <v>119.43</v>
      </c>
      <c r="C114">
        <v>124.67</v>
      </c>
      <c r="D114">
        <v>117.96</v>
      </c>
      <c r="E114">
        <v>120.4</v>
      </c>
    </row>
    <row r="115" spans="1:5" x14ac:dyDescent="0.2">
      <c r="A115">
        <v>119.43</v>
      </c>
      <c r="C115">
        <v>124.67</v>
      </c>
      <c r="D115">
        <v>125.7</v>
      </c>
      <c r="E115">
        <v>156.75</v>
      </c>
    </row>
    <row r="116" spans="1:5" x14ac:dyDescent="0.2">
      <c r="A116">
        <v>122.53</v>
      </c>
      <c r="C116">
        <v>116.62</v>
      </c>
      <c r="D116">
        <v>125.7</v>
      </c>
      <c r="E116">
        <v>156.75</v>
      </c>
    </row>
    <row r="117" spans="1:5" x14ac:dyDescent="0.2">
      <c r="A117">
        <v>122.53</v>
      </c>
      <c r="C117">
        <v>116.62</v>
      </c>
      <c r="D117">
        <v>119.04</v>
      </c>
      <c r="E117">
        <v>134.43</v>
      </c>
    </row>
    <row r="118" spans="1:5" x14ac:dyDescent="0.2">
      <c r="A118">
        <v>112.57</v>
      </c>
      <c r="C118">
        <v>120.91</v>
      </c>
      <c r="D118">
        <v>119.04</v>
      </c>
      <c r="E118">
        <v>134.43</v>
      </c>
    </row>
    <row r="119" spans="1:5" x14ac:dyDescent="0.2">
      <c r="A119">
        <v>112.57</v>
      </c>
      <c r="C119">
        <v>120.91</v>
      </c>
      <c r="D119">
        <v>117.87</v>
      </c>
      <c r="E119">
        <v>121.67</v>
      </c>
    </row>
    <row r="120" spans="1:5" x14ac:dyDescent="0.2">
      <c r="A120">
        <v>114.92</v>
      </c>
      <c r="C120">
        <v>118.29</v>
      </c>
      <c r="D120">
        <v>117.87</v>
      </c>
      <c r="E120">
        <v>121.67</v>
      </c>
    </row>
    <row r="121" spans="1:5" x14ac:dyDescent="0.2">
      <c r="A121">
        <v>114.92</v>
      </c>
      <c r="D121">
        <v>120.1</v>
      </c>
      <c r="E121">
        <v>122.05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3ACFD-8AF5-7A40-8EFA-369550C3BA23}">
  <dimension ref="A1:J121"/>
  <sheetViews>
    <sheetView workbookViewId="0">
      <selection activeCell="A2" sqref="A2"/>
    </sheetView>
  </sheetViews>
  <sheetFormatPr baseColWidth="10" defaultRowHeight="16" x14ac:dyDescent="0.2"/>
  <cols>
    <col min="1" max="1" width="16.5" bestFit="1" customWidth="1"/>
    <col min="7" max="7" width="11.5" customWidth="1"/>
    <col min="9" max="9" width="14.1640625" bestFit="1" customWidth="1"/>
    <col min="10" max="10" width="15.5" customWidth="1"/>
  </cols>
  <sheetData>
    <row r="1" spans="1:10" x14ac:dyDescent="0.2">
      <c r="A1" t="s">
        <v>32</v>
      </c>
      <c r="B1" t="s">
        <v>28</v>
      </c>
      <c r="C1" t="s">
        <v>11</v>
      </c>
      <c r="D1" t="s">
        <v>26</v>
      </c>
      <c r="E1" s="1" t="s">
        <v>9</v>
      </c>
      <c r="F1" t="s">
        <v>0</v>
      </c>
      <c r="G1" t="s">
        <v>8</v>
      </c>
      <c r="H1" t="s">
        <v>14</v>
      </c>
      <c r="I1" t="s">
        <v>24</v>
      </c>
      <c r="J1" t="s">
        <v>23</v>
      </c>
    </row>
    <row r="2" spans="1:10" x14ac:dyDescent="0.2">
      <c r="A2">
        <v>136.49</v>
      </c>
      <c r="B2" t="s">
        <v>17</v>
      </c>
      <c r="C2" t="s">
        <v>17</v>
      </c>
      <c r="D2">
        <v>261.85000000000002</v>
      </c>
      <c r="E2" t="s">
        <v>17</v>
      </c>
      <c r="F2" t="s">
        <v>1</v>
      </c>
      <c r="G2">
        <f>AVERAGE(A:A)</f>
        <v>132.82283333333331</v>
      </c>
      <c r="H2">
        <v>28</v>
      </c>
      <c r="I2">
        <f t="shared" ref="I2:I5" si="0">G2-H2</f>
        <v>104.82283333333331</v>
      </c>
      <c r="J2">
        <f>13+I2</f>
        <v>117.82283333333331</v>
      </c>
    </row>
    <row r="3" spans="1:10" x14ac:dyDescent="0.2">
      <c r="A3">
        <v>136.49</v>
      </c>
      <c r="D3">
        <v>266.72000000000003</v>
      </c>
      <c r="F3" t="s">
        <v>3</v>
      </c>
      <c r="G3" t="s">
        <v>17</v>
      </c>
      <c r="H3" t="s">
        <v>17</v>
      </c>
      <c r="I3" t="s">
        <v>17</v>
      </c>
      <c r="J3" t="s">
        <v>17</v>
      </c>
    </row>
    <row r="4" spans="1:10" x14ac:dyDescent="0.2">
      <c r="A4">
        <v>138.22999999999999</v>
      </c>
      <c r="D4">
        <v>266.72000000000003</v>
      </c>
      <c r="F4" t="s">
        <v>2</v>
      </c>
      <c r="G4" t="s">
        <v>17</v>
      </c>
      <c r="H4" t="s">
        <v>17</v>
      </c>
      <c r="I4" t="s">
        <v>17</v>
      </c>
      <c r="J4" t="s">
        <v>17</v>
      </c>
    </row>
    <row r="5" spans="1:10" x14ac:dyDescent="0.2">
      <c r="A5">
        <v>138.22999999999999</v>
      </c>
      <c r="D5">
        <v>266.92</v>
      </c>
      <c r="F5" t="s">
        <v>4</v>
      </c>
      <c r="G5">
        <f>AVERAGE(D:D)</f>
        <v>267.00033333333329</v>
      </c>
      <c r="H5">
        <f>AVERAGE(135,155)</f>
        <v>145</v>
      </c>
      <c r="I5">
        <f t="shared" si="0"/>
        <v>122.00033333333329</v>
      </c>
      <c r="J5">
        <f>13+I5</f>
        <v>135.00033333333329</v>
      </c>
    </row>
    <row r="6" spans="1:10" x14ac:dyDescent="0.2">
      <c r="A6">
        <v>130.9</v>
      </c>
      <c r="D6">
        <v>266.92</v>
      </c>
      <c r="F6" t="s">
        <v>5</v>
      </c>
      <c r="G6" t="s">
        <v>17</v>
      </c>
      <c r="H6" t="s">
        <v>17</v>
      </c>
      <c r="I6" t="s">
        <v>17</v>
      </c>
      <c r="J6" t="s">
        <v>17</v>
      </c>
    </row>
    <row r="7" spans="1:10" x14ac:dyDescent="0.2">
      <c r="A7">
        <v>130.9</v>
      </c>
      <c r="D7">
        <v>271.66000000000003</v>
      </c>
    </row>
    <row r="8" spans="1:10" x14ac:dyDescent="0.2">
      <c r="A8">
        <v>129.63</v>
      </c>
      <c r="D8">
        <v>271.66000000000003</v>
      </c>
    </row>
    <row r="9" spans="1:10" x14ac:dyDescent="0.2">
      <c r="A9">
        <v>129.63</v>
      </c>
      <c r="D9">
        <v>266.26</v>
      </c>
    </row>
    <row r="10" spans="1:10" x14ac:dyDescent="0.2">
      <c r="A10">
        <v>141.66</v>
      </c>
      <c r="D10">
        <v>266.26</v>
      </c>
    </row>
    <row r="11" spans="1:10" x14ac:dyDescent="0.2">
      <c r="A11">
        <v>141.66</v>
      </c>
      <c r="D11">
        <v>269.16000000000003</v>
      </c>
    </row>
    <row r="12" spans="1:10" x14ac:dyDescent="0.2">
      <c r="A12">
        <v>131.38</v>
      </c>
      <c r="D12">
        <v>269.16000000000003</v>
      </c>
    </row>
    <row r="13" spans="1:10" x14ac:dyDescent="0.2">
      <c r="A13">
        <v>131.38</v>
      </c>
      <c r="D13">
        <v>257.27999999999997</v>
      </c>
    </row>
    <row r="14" spans="1:10" x14ac:dyDescent="0.2">
      <c r="A14">
        <v>128.9</v>
      </c>
      <c r="D14">
        <v>257.27999999999997</v>
      </c>
    </row>
    <row r="15" spans="1:10" x14ac:dyDescent="0.2">
      <c r="A15">
        <v>128.9</v>
      </c>
      <c r="D15">
        <v>260.01</v>
      </c>
    </row>
    <row r="16" spans="1:10" x14ac:dyDescent="0.2">
      <c r="A16">
        <v>139.72999999999999</v>
      </c>
      <c r="D16">
        <v>260.01</v>
      </c>
    </row>
    <row r="17" spans="1:4" x14ac:dyDescent="0.2">
      <c r="A17">
        <v>139.72999999999999</v>
      </c>
      <c r="D17">
        <v>268.39</v>
      </c>
    </row>
    <row r="18" spans="1:4" x14ac:dyDescent="0.2">
      <c r="A18">
        <v>130.84</v>
      </c>
      <c r="D18">
        <v>268.39</v>
      </c>
    </row>
    <row r="19" spans="1:4" x14ac:dyDescent="0.2">
      <c r="A19">
        <v>130.84</v>
      </c>
      <c r="D19">
        <v>274.7</v>
      </c>
    </row>
    <row r="20" spans="1:4" x14ac:dyDescent="0.2">
      <c r="A20">
        <v>132.71</v>
      </c>
      <c r="D20">
        <v>274.7</v>
      </c>
    </row>
    <row r="21" spans="1:4" x14ac:dyDescent="0.2">
      <c r="A21">
        <v>132.71</v>
      </c>
      <c r="D21">
        <v>269.58999999999997</v>
      </c>
    </row>
    <row r="22" spans="1:4" x14ac:dyDescent="0.2">
      <c r="A22">
        <v>135.93</v>
      </c>
      <c r="D22">
        <v>269.58999999999997</v>
      </c>
    </row>
    <row r="23" spans="1:4" x14ac:dyDescent="0.2">
      <c r="A23">
        <v>135.93</v>
      </c>
      <c r="D23">
        <v>263.23</v>
      </c>
    </row>
    <row r="24" spans="1:4" x14ac:dyDescent="0.2">
      <c r="A24">
        <v>129.24</v>
      </c>
      <c r="D24">
        <v>263.23</v>
      </c>
    </row>
    <row r="25" spans="1:4" x14ac:dyDescent="0.2">
      <c r="A25">
        <v>129.24</v>
      </c>
      <c r="D25">
        <v>266.72000000000003</v>
      </c>
    </row>
    <row r="26" spans="1:4" x14ac:dyDescent="0.2">
      <c r="A26">
        <v>127.94</v>
      </c>
      <c r="D26">
        <v>266.72000000000003</v>
      </c>
    </row>
    <row r="27" spans="1:4" x14ac:dyDescent="0.2">
      <c r="A27">
        <v>127.94</v>
      </c>
      <c r="D27">
        <v>263.95999999999998</v>
      </c>
    </row>
    <row r="28" spans="1:4" x14ac:dyDescent="0.2">
      <c r="A28">
        <v>141.11000000000001</v>
      </c>
      <c r="D28">
        <v>263.95999999999998</v>
      </c>
    </row>
    <row r="29" spans="1:4" x14ac:dyDescent="0.2">
      <c r="A29">
        <v>141.11000000000001</v>
      </c>
      <c r="D29">
        <v>272.64999999999998</v>
      </c>
    </row>
    <row r="30" spans="1:4" x14ac:dyDescent="0.2">
      <c r="A30">
        <v>137.43</v>
      </c>
      <c r="D30">
        <v>272.64999999999998</v>
      </c>
    </row>
    <row r="31" spans="1:4" x14ac:dyDescent="0.2">
      <c r="A31">
        <v>137.43</v>
      </c>
      <c r="D31">
        <v>270.3</v>
      </c>
    </row>
    <row r="32" spans="1:4" x14ac:dyDescent="0.2">
      <c r="A32">
        <v>128.09</v>
      </c>
      <c r="D32">
        <v>270.3</v>
      </c>
    </row>
    <row r="33" spans="1:4" x14ac:dyDescent="0.2">
      <c r="A33">
        <v>128.09</v>
      </c>
      <c r="D33">
        <v>265.20999999999998</v>
      </c>
    </row>
    <row r="34" spans="1:4" x14ac:dyDescent="0.2">
      <c r="A34">
        <v>132.97999999999999</v>
      </c>
      <c r="D34">
        <v>265.20999999999998</v>
      </c>
    </row>
    <row r="35" spans="1:4" x14ac:dyDescent="0.2">
      <c r="A35">
        <v>132.97999999999999</v>
      </c>
      <c r="D35">
        <v>280.08999999999997</v>
      </c>
    </row>
    <row r="36" spans="1:4" x14ac:dyDescent="0.2">
      <c r="A36">
        <v>129.77000000000001</v>
      </c>
      <c r="D36">
        <v>280.08999999999997</v>
      </c>
    </row>
    <row r="37" spans="1:4" x14ac:dyDescent="0.2">
      <c r="A37">
        <v>129.77000000000001</v>
      </c>
      <c r="D37">
        <v>280.08999999999997</v>
      </c>
    </row>
    <row r="38" spans="1:4" x14ac:dyDescent="0.2">
      <c r="A38">
        <v>129.74</v>
      </c>
      <c r="D38">
        <v>280.08999999999997</v>
      </c>
    </row>
    <row r="39" spans="1:4" x14ac:dyDescent="0.2">
      <c r="A39">
        <v>129.74</v>
      </c>
      <c r="D39">
        <v>263.14999999999998</v>
      </c>
    </row>
    <row r="40" spans="1:4" x14ac:dyDescent="0.2">
      <c r="A40">
        <v>137.41</v>
      </c>
      <c r="D40">
        <v>269.49</v>
      </c>
    </row>
    <row r="41" spans="1:4" x14ac:dyDescent="0.2">
      <c r="A41">
        <v>137.41</v>
      </c>
      <c r="D41">
        <v>269.49</v>
      </c>
    </row>
    <row r="42" spans="1:4" x14ac:dyDescent="0.2">
      <c r="A42">
        <v>134.62</v>
      </c>
      <c r="D42">
        <v>264.89</v>
      </c>
    </row>
    <row r="43" spans="1:4" x14ac:dyDescent="0.2">
      <c r="A43">
        <v>134.62</v>
      </c>
      <c r="D43">
        <v>264.89</v>
      </c>
    </row>
    <row r="44" spans="1:4" x14ac:dyDescent="0.2">
      <c r="A44">
        <v>129.71</v>
      </c>
      <c r="D44">
        <v>267.92</v>
      </c>
    </row>
    <row r="45" spans="1:4" x14ac:dyDescent="0.2">
      <c r="A45">
        <v>129.71</v>
      </c>
      <c r="D45">
        <v>267.92</v>
      </c>
    </row>
    <row r="46" spans="1:4" x14ac:dyDescent="0.2">
      <c r="A46">
        <v>131.72999999999999</v>
      </c>
      <c r="D46">
        <v>263.37</v>
      </c>
    </row>
    <row r="47" spans="1:4" x14ac:dyDescent="0.2">
      <c r="A47">
        <v>131.72999999999999</v>
      </c>
      <c r="D47">
        <v>263.37</v>
      </c>
    </row>
    <row r="48" spans="1:4" x14ac:dyDescent="0.2">
      <c r="A48">
        <v>134.78</v>
      </c>
      <c r="D48">
        <v>269.98</v>
      </c>
    </row>
    <row r="49" spans="1:4" x14ac:dyDescent="0.2">
      <c r="A49">
        <v>134.78</v>
      </c>
      <c r="D49">
        <v>269.98</v>
      </c>
    </row>
    <row r="50" spans="1:4" x14ac:dyDescent="0.2">
      <c r="A50">
        <v>129.44999999999999</v>
      </c>
      <c r="D50">
        <v>257.97000000000003</v>
      </c>
    </row>
    <row r="51" spans="1:4" x14ac:dyDescent="0.2">
      <c r="A51">
        <v>129.44999999999999</v>
      </c>
      <c r="D51">
        <v>257.97000000000003</v>
      </c>
    </row>
    <row r="52" spans="1:4" x14ac:dyDescent="0.2">
      <c r="A52">
        <v>133.59</v>
      </c>
      <c r="D52">
        <v>267.83</v>
      </c>
    </row>
    <row r="53" spans="1:4" x14ac:dyDescent="0.2">
      <c r="A53">
        <v>133.59</v>
      </c>
      <c r="D53">
        <v>267.83</v>
      </c>
    </row>
    <row r="54" spans="1:4" x14ac:dyDescent="0.2">
      <c r="A54">
        <v>131.63</v>
      </c>
      <c r="D54">
        <v>267.13</v>
      </c>
    </row>
    <row r="55" spans="1:4" x14ac:dyDescent="0.2">
      <c r="A55">
        <v>131.63</v>
      </c>
      <c r="D55">
        <v>267.13</v>
      </c>
    </row>
    <row r="56" spans="1:4" x14ac:dyDescent="0.2">
      <c r="A56">
        <v>129.37</v>
      </c>
      <c r="D56">
        <v>263.95</v>
      </c>
    </row>
    <row r="57" spans="1:4" x14ac:dyDescent="0.2">
      <c r="A57">
        <v>129.37</v>
      </c>
      <c r="D57">
        <v>263.95</v>
      </c>
    </row>
    <row r="58" spans="1:4" x14ac:dyDescent="0.2">
      <c r="A58">
        <v>132.74</v>
      </c>
      <c r="D58">
        <v>272.67</v>
      </c>
    </row>
    <row r="59" spans="1:4" x14ac:dyDescent="0.2">
      <c r="A59">
        <v>132.74</v>
      </c>
      <c r="D59">
        <v>272.67</v>
      </c>
    </row>
    <row r="60" spans="1:4" x14ac:dyDescent="0.2">
      <c r="A60">
        <v>139.44</v>
      </c>
      <c r="D60">
        <v>269.20999999999998</v>
      </c>
    </row>
    <row r="61" spans="1:4" x14ac:dyDescent="0.2">
      <c r="A61">
        <v>139.44</v>
      </c>
      <c r="D61">
        <v>269.20999999999998</v>
      </c>
    </row>
    <row r="62" spans="1:4" x14ac:dyDescent="0.2">
      <c r="A62">
        <v>132.29</v>
      </c>
      <c r="D62">
        <v>267.02</v>
      </c>
    </row>
    <row r="63" spans="1:4" x14ac:dyDescent="0.2">
      <c r="A63">
        <v>132.29</v>
      </c>
      <c r="D63">
        <v>267.02</v>
      </c>
    </row>
    <row r="64" spans="1:4" x14ac:dyDescent="0.2">
      <c r="A64">
        <v>134.09</v>
      </c>
      <c r="D64">
        <v>267.45999999999998</v>
      </c>
    </row>
    <row r="65" spans="1:4" x14ac:dyDescent="0.2">
      <c r="A65">
        <v>134.09</v>
      </c>
      <c r="D65">
        <v>267.45999999999998</v>
      </c>
    </row>
    <row r="66" spans="1:4" x14ac:dyDescent="0.2">
      <c r="A66">
        <v>135.77000000000001</v>
      </c>
      <c r="D66">
        <v>270.08999999999997</v>
      </c>
    </row>
    <row r="67" spans="1:4" x14ac:dyDescent="0.2">
      <c r="A67">
        <v>135.77000000000001</v>
      </c>
      <c r="D67">
        <v>270.08999999999997</v>
      </c>
    </row>
    <row r="68" spans="1:4" x14ac:dyDescent="0.2">
      <c r="A68">
        <v>127.88</v>
      </c>
      <c r="D68">
        <v>262.02999999999997</v>
      </c>
    </row>
    <row r="69" spans="1:4" x14ac:dyDescent="0.2">
      <c r="A69">
        <v>127.88</v>
      </c>
      <c r="D69">
        <v>262.02999999999997</v>
      </c>
    </row>
    <row r="70" spans="1:4" x14ac:dyDescent="0.2">
      <c r="A70">
        <v>128.43</v>
      </c>
      <c r="D70">
        <v>258.72000000000003</v>
      </c>
    </row>
    <row r="71" spans="1:4" x14ac:dyDescent="0.2">
      <c r="A71">
        <v>128.43</v>
      </c>
      <c r="D71">
        <v>258.72000000000003</v>
      </c>
    </row>
    <row r="72" spans="1:4" x14ac:dyDescent="0.2">
      <c r="A72">
        <v>131.78</v>
      </c>
      <c r="D72">
        <v>266.92</v>
      </c>
    </row>
    <row r="73" spans="1:4" x14ac:dyDescent="0.2">
      <c r="A73">
        <v>131.78</v>
      </c>
      <c r="D73">
        <v>266.92</v>
      </c>
    </row>
    <row r="74" spans="1:4" x14ac:dyDescent="0.2">
      <c r="A74">
        <v>128.68</v>
      </c>
      <c r="D74">
        <v>264.3</v>
      </c>
    </row>
    <row r="75" spans="1:4" x14ac:dyDescent="0.2">
      <c r="A75">
        <v>128.68</v>
      </c>
      <c r="D75">
        <v>264.3</v>
      </c>
    </row>
    <row r="76" spans="1:4" x14ac:dyDescent="0.2">
      <c r="A76">
        <v>131.27000000000001</v>
      </c>
      <c r="D76">
        <v>263.04000000000002</v>
      </c>
    </row>
    <row r="77" spans="1:4" x14ac:dyDescent="0.2">
      <c r="A77">
        <v>131.27000000000001</v>
      </c>
      <c r="D77">
        <v>263.04000000000002</v>
      </c>
    </row>
    <row r="78" spans="1:4" x14ac:dyDescent="0.2">
      <c r="A78">
        <v>141.84</v>
      </c>
      <c r="D78">
        <v>272.8</v>
      </c>
    </row>
    <row r="79" spans="1:4" x14ac:dyDescent="0.2">
      <c r="A79">
        <v>141.84</v>
      </c>
      <c r="D79">
        <v>272.8</v>
      </c>
    </row>
    <row r="80" spans="1:4" x14ac:dyDescent="0.2">
      <c r="A80">
        <v>132.30000000000001</v>
      </c>
      <c r="D80">
        <v>263.7</v>
      </c>
    </row>
    <row r="81" spans="1:4" x14ac:dyDescent="0.2">
      <c r="A81">
        <v>132.30000000000001</v>
      </c>
      <c r="D81">
        <v>263.7</v>
      </c>
    </row>
    <row r="82" spans="1:4" x14ac:dyDescent="0.2">
      <c r="A82">
        <v>129.09</v>
      </c>
      <c r="D82">
        <v>264.74</v>
      </c>
    </row>
    <row r="83" spans="1:4" x14ac:dyDescent="0.2">
      <c r="A83">
        <v>129.09</v>
      </c>
      <c r="D83">
        <v>264.74</v>
      </c>
    </row>
    <row r="84" spans="1:4" x14ac:dyDescent="0.2">
      <c r="A84">
        <v>136.30000000000001</v>
      </c>
      <c r="D84">
        <v>275.68</v>
      </c>
    </row>
    <row r="85" spans="1:4" x14ac:dyDescent="0.2">
      <c r="A85">
        <v>136.30000000000001</v>
      </c>
      <c r="D85">
        <v>275.68</v>
      </c>
    </row>
    <row r="86" spans="1:4" x14ac:dyDescent="0.2">
      <c r="A86">
        <v>128.15</v>
      </c>
      <c r="D86">
        <v>259.47000000000003</v>
      </c>
    </row>
    <row r="87" spans="1:4" x14ac:dyDescent="0.2">
      <c r="A87">
        <v>128.15</v>
      </c>
      <c r="D87">
        <v>259.47000000000003</v>
      </c>
    </row>
    <row r="88" spans="1:4" x14ac:dyDescent="0.2">
      <c r="A88">
        <v>129.16</v>
      </c>
      <c r="D88">
        <v>268.8</v>
      </c>
    </row>
    <row r="89" spans="1:4" x14ac:dyDescent="0.2">
      <c r="A89">
        <v>129.16</v>
      </c>
      <c r="D89">
        <v>268.8</v>
      </c>
    </row>
    <row r="90" spans="1:4" x14ac:dyDescent="0.2">
      <c r="A90">
        <v>133.65</v>
      </c>
      <c r="D90">
        <v>265.95999999999998</v>
      </c>
    </row>
    <row r="91" spans="1:4" x14ac:dyDescent="0.2">
      <c r="A91">
        <v>133.65</v>
      </c>
      <c r="D91">
        <v>265.95999999999998</v>
      </c>
    </row>
    <row r="92" spans="1:4" x14ac:dyDescent="0.2">
      <c r="A92">
        <v>129.33000000000001</v>
      </c>
      <c r="D92">
        <v>267.05</v>
      </c>
    </row>
    <row r="93" spans="1:4" x14ac:dyDescent="0.2">
      <c r="A93">
        <v>129.33000000000001</v>
      </c>
      <c r="D93">
        <v>267.05</v>
      </c>
    </row>
    <row r="94" spans="1:4" x14ac:dyDescent="0.2">
      <c r="A94">
        <v>130.04</v>
      </c>
      <c r="D94">
        <v>265.26</v>
      </c>
    </row>
    <row r="95" spans="1:4" x14ac:dyDescent="0.2">
      <c r="A95">
        <v>130.04</v>
      </c>
      <c r="D95">
        <v>265.26</v>
      </c>
    </row>
    <row r="96" spans="1:4" x14ac:dyDescent="0.2">
      <c r="A96">
        <v>140.32</v>
      </c>
      <c r="D96">
        <v>272.05</v>
      </c>
    </row>
    <row r="97" spans="1:4" x14ac:dyDescent="0.2">
      <c r="A97">
        <v>140.32</v>
      </c>
      <c r="D97">
        <v>272.05</v>
      </c>
    </row>
    <row r="98" spans="1:4" x14ac:dyDescent="0.2">
      <c r="A98">
        <v>134.06</v>
      </c>
      <c r="D98">
        <v>264.45999999999998</v>
      </c>
    </row>
    <row r="99" spans="1:4" x14ac:dyDescent="0.2">
      <c r="A99">
        <v>134.06</v>
      </c>
      <c r="D99">
        <v>264.45999999999998</v>
      </c>
    </row>
    <row r="100" spans="1:4" x14ac:dyDescent="0.2">
      <c r="A100">
        <v>128.4</v>
      </c>
      <c r="D100">
        <v>266.29000000000002</v>
      </c>
    </row>
    <row r="101" spans="1:4" x14ac:dyDescent="0.2">
      <c r="A101">
        <v>128.4</v>
      </c>
      <c r="D101">
        <v>266.29000000000002</v>
      </c>
    </row>
    <row r="102" spans="1:4" x14ac:dyDescent="0.2">
      <c r="A102">
        <v>130.72999999999999</v>
      </c>
      <c r="D102">
        <v>277.10000000000002</v>
      </c>
    </row>
    <row r="103" spans="1:4" x14ac:dyDescent="0.2">
      <c r="A103">
        <v>130.72999999999999</v>
      </c>
      <c r="D103">
        <v>277.10000000000002</v>
      </c>
    </row>
    <row r="104" spans="1:4" x14ac:dyDescent="0.2">
      <c r="A104">
        <v>128.65</v>
      </c>
      <c r="D104">
        <v>264.87</v>
      </c>
    </row>
    <row r="105" spans="1:4" x14ac:dyDescent="0.2">
      <c r="A105">
        <v>128.65</v>
      </c>
      <c r="D105">
        <v>264.87</v>
      </c>
    </row>
    <row r="106" spans="1:4" x14ac:dyDescent="0.2">
      <c r="A106">
        <v>129.02000000000001</v>
      </c>
      <c r="D106">
        <v>259.31</v>
      </c>
    </row>
    <row r="107" spans="1:4" x14ac:dyDescent="0.2">
      <c r="A107">
        <v>129.02000000000001</v>
      </c>
      <c r="D107">
        <v>259.31</v>
      </c>
    </row>
    <row r="108" spans="1:4" x14ac:dyDescent="0.2">
      <c r="A108">
        <v>134.76</v>
      </c>
      <c r="D108">
        <v>266.88</v>
      </c>
    </row>
    <row r="109" spans="1:4" x14ac:dyDescent="0.2">
      <c r="A109">
        <v>134.76</v>
      </c>
      <c r="D109">
        <v>266.88</v>
      </c>
    </row>
    <row r="110" spans="1:4" x14ac:dyDescent="0.2">
      <c r="A110">
        <v>131.12</v>
      </c>
      <c r="D110">
        <v>262.37</v>
      </c>
    </row>
    <row r="111" spans="1:4" x14ac:dyDescent="0.2">
      <c r="A111">
        <v>131.12</v>
      </c>
      <c r="D111">
        <v>262.37</v>
      </c>
    </row>
    <row r="112" spans="1:4" x14ac:dyDescent="0.2">
      <c r="A112">
        <v>129.66</v>
      </c>
      <c r="D112">
        <v>267.54000000000002</v>
      </c>
    </row>
    <row r="113" spans="1:4" x14ac:dyDescent="0.2">
      <c r="A113">
        <v>129.66</v>
      </c>
      <c r="D113">
        <v>267.54000000000002</v>
      </c>
    </row>
    <row r="114" spans="1:4" x14ac:dyDescent="0.2">
      <c r="A114">
        <v>132.13999999999999</v>
      </c>
      <c r="D114">
        <v>267.08</v>
      </c>
    </row>
    <row r="115" spans="1:4" x14ac:dyDescent="0.2">
      <c r="A115">
        <v>132.13999999999999</v>
      </c>
      <c r="D115">
        <v>267.08</v>
      </c>
    </row>
    <row r="116" spans="1:4" x14ac:dyDescent="0.2">
      <c r="A116">
        <v>141.16999999999999</v>
      </c>
      <c r="D116">
        <v>267.06</v>
      </c>
    </row>
    <row r="117" spans="1:4" x14ac:dyDescent="0.2">
      <c r="A117">
        <v>141.16999999999999</v>
      </c>
      <c r="D117">
        <v>267.06</v>
      </c>
    </row>
    <row r="118" spans="1:4" x14ac:dyDescent="0.2">
      <c r="A118">
        <v>134.51</v>
      </c>
      <c r="D118">
        <v>265.22000000000003</v>
      </c>
    </row>
    <row r="119" spans="1:4" x14ac:dyDescent="0.2">
      <c r="A119">
        <v>134.51</v>
      </c>
      <c r="D119">
        <v>265.22000000000003</v>
      </c>
    </row>
    <row r="120" spans="1:4" x14ac:dyDescent="0.2">
      <c r="A120">
        <v>137.61000000000001</v>
      </c>
      <c r="D120">
        <v>266.89999999999998</v>
      </c>
    </row>
    <row r="121" spans="1:4" x14ac:dyDescent="0.2">
      <c r="A121">
        <v>137.61000000000001</v>
      </c>
      <c r="D121">
        <v>266.89999999999998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B38F7-5DE7-4E4D-A03F-B39C1416496F}">
  <dimension ref="A1:I121"/>
  <sheetViews>
    <sheetView workbookViewId="0">
      <selection activeCell="H2" sqref="H2"/>
    </sheetView>
  </sheetViews>
  <sheetFormatPr baseColWidth="10" defaultRowHeight="16" x14ac:dyDescent="0.2"/>
  <sheetData>
    <row r="1" spans="1:9" x14ac:dyDescent="0.2">
      <c r="A1" t="s">
        <v>13</v>
      </c>
      <c r="B1" t="s">
        <v>12</v>
      </c>
      <c r="C1" t="s">
        <v>11</v>
      </c>
      <c r="D1" t="s">
        <v>26</v>
      </c>
      <c r="E1" t="s">
        <v>9</v>
      </c>
      <c r="F1" t="s">
        <v>0</v>
      </c>
      <c r="G1" t="s">
        <v>8</v>
      </c>
      <c r="H1" t="s">
        <v>14</v>
      </c>
      <c r="I1" t="s">
        <v>16</v>
      </c>
    </row>
    <row r="2" spans="1:9" x14ac:dyDescent="0.2">
      <c r="A2">
        <v>105.39</v>
      </c>
      <c r="B2" t="s">
        <v>17</v>
      </c>
      <c r="C2">
        <v>105.13</v>
      </c>
      <c r="D2">
        <v>109.47</v>
      </c>
      <c r="E2">
        <v>112.84</v>
      </c>
      <c r="F2" t="s">
        <v>1</v>
      </c>
      <c r="G2">
        <f>AVERAGE(A:A)</f>
        <v>107.35400000000008</v>
      </c>
      <c r="H2">
        <v>16</v>
      </c>
      <c r="I2">
        <f t="shared" ref="I2:I6" si="0">G2-H2</f>
        <v>91.354000000000084</v>
      </c>
    </row>
    <row r="3" spans="1:9" x14ac:dyDescent="0.2">
      <c r="A3">
        <v>105.39</v>
      </c>
      <c r="C3">
        <v>105.13</v>
      </c>
      <c r="D3">
        <v>109.47</v>
      </c>
      <c r="E3">
        <v>110.89</v>
      </c>
      <c r="F3" t="s">
        <v>3</v>
      </c>
      <c r="G3" t="s">
        <v>17</v>
      </c>
      <c r="H3" t="s">
        <v>17</v>
      </c>
      <c r="I3" t="s">
        <v>17</v>
      </c>
    </row>
    <row r="4" spans="1:9" x14ac:dyDescent="0.2">
      <c r="A4">
        <v>109.33</v>
      </c>
      <c r="C4">
        <v>106.95</v>
      </c>
      <c r="D4">
        <v>104</v>
      </c>
      <c r="E4">
        <v>110.89</v>
      </c>
      <c r="F4" t="s">
        <v>2</v>
      </c>
      <c r="G4">
        <f>AVERAGE(C:C)</f>
        <v>106.626</v>
      </c>
      <c r="H4">
        <v>16</v>
      </c>
      <c r="I4">
        <f t="shared" si="0"/>
        <v>90.626000000000005</v>
      </c>
    </row>
    <row r="5" spans="1:9" x14ac:dyDescent="0.2">
      <c r="A5">
        <v>109.33</v>
      </c>
      <c r="C5">
        <v>106.95</v>
      </c>
      <c r="D5">
        <v>104</v>
      </c>
      <c r="E5">
        <v>109.5</v>
      </c>
      <c r="F5" t="s">
        <v>4</v>
      </c>
      <c r="G5">
        <f>AVERAGE(D:D)</f>
        <v>107.95783333333331</v>
      </c>
      <c r="H5">
        <f>AVERAGE(16,17)</f>
        <v>16.5</v>
      </c>
      <c r="I5">
        <f t="shared" si="0"/>
        <v>91.457833333333312</v>
      </c>
    </row>
    <row r="6" spans="1:9" x14ac:dyDescent="0.2">
      <c r="A6">
        <v>111.92</v>
      </c>
      <c r="C6">
        <v>108.18</v>
      </c>
      <c r="D6">
        <v>111.77</v>
      </c>
      <c r="E6">
        <v>109.5</v>
      </c>
      <c r="F6" t="s">
        <v>5</v>
      </c>
      <c r="G6">
        <f>AVERAGE(E:E)</f>
        <v>111.39999999999999</v>
      </c>
      <c r="H6">
        <f>AVERAGE(16,17)</f>
        <v>16.5</v>
      </c>
      <c r="I6">
        <f t="shared" si="0"/>
        <v>94.899999999999991</v>
      </c>
    </row>
    <row r="7" spans="1:9" x14ac:dyDescent="0.2">
      <c r="A7">
        <v>111.92</v>
      </c>
      <c r="C7">
        <v>108.18</v>
      </c>
      <c r="D7">
        <v>111.77</v>
      </c>
      <c r="E7">
        <v>107.55</v>
      </c>
    </row>
    <row r="8" spans="1:9" x14ac:dyDescent="0.2">
      <c r="A8">
        <v>102.28</v>
      </c>
      <c r="C8">
        <v>113.29</v>
      </c>
      <c r="D8">
        <v>109.88</v>
      </c>
      <c r="E8">
        <v>107.55</v>
      </c>
    </row>
    <row r="9" spans="1:9" x14ac:dyDescent="0.2">
      <c r="A9">
        <v>102.28</v>
      </c>
      <c r="C9">
        <v>113.29</v>
      </c>
      <c r="D9">
        <v>109.88</v>
      </c>
      <c r="E9">
        <v>112.69</v>
      </c>
    </row>
    <row r="10" spans="1:9" x14ac:dyDescent="0.2">
      <c r="A10">
        <v>101.57</v>
      </c>
      <c r="C10">
        <v>102.91</v>
      </c>
      <c r="D10">
        <v>101.3</v>
      </c>
      <c r="E10">
        <v>112.69</v>
      </c>
    </row>
    <row r="11" spans="1:9" x14ac:dyDescent="0.2">
      <c r="A11">
        <v>101.57</v>
      </c>
      <c r="C11">
        <v>102.91</v>
      </c>
      <c r="D11">
        <v>101.3</v>
      </c>
      <c r="E11">
        <v>109.44</v>
      </c>
    </row>
    <row r="12" spans="1:9" x14ac:dyDescent="0.2">
      <c r="A12">
        <v>113.14</v>
      </c>
      <c r="C12">
        <v>105.62</v>
      </c>
      <c r="D12">
        <v>103.42</v>
      </c>
      <c r="E12">
        <v>109.44</v>
      </c>
    </row>
    <row r="13" spans="1:9" x14ac:dyDescent="0.2">
      <c r="A13">
        <v>113.14</v>
      </c>
      <c r="C13">
        <v>105.62</v>
      </c>
      <c r="D13">
        <v>103.42</v>
      </c>
      <c r="E13">
        <v>115.12</v>
      </c>
    </row>
    <row r="14" spans="1:9" x14ac:dyDescent="0.2">
      <c r="A14">
        <v>103.64</v>
      </c>
      <c r="C14">
        <v>104.29</v>
      </c>
      <c r="D14">
        <v>106.54</v>
      </c>
      <c r="E14">
        <v>115.12</v>
      </c>
    </row>
    <row r="15" spans="1:9" x14ac:dyDescent="0.2">
      <c r="A15">
        <v>103.64</v>
      </c>
      <c r="C15">
        <v>104.29</v>
      </c>
      <c r="D15">
        <v>106.54</v>
      </c>
      <c r="E15">
        <v>109.56</v>
      </c>
    </row>
    <row r="16" spans="1:9" x14ac:dyDescent="0.2">
      <c r="A16">
        <v>117.07</v>
      </c>
      <c r="C16">
        <v>101.98</v>
      </c>
      <c r="D16">
        <v>108.91</v>
      </c>
      <c r="E16">
        <v>109.56</v>
      </c>
    </row>
    <row r="17" spans="1:5" x14ac:dyDescent="0.2">
      <c r="A17">
        <v>117.07</v>
      </c>
      <c r="C17">
        <v>101.98</v>
      </c>
      <c r="D17">
        <v>108.91</v>
      </c>
      <c r="E17">
        <v>119.29</v>
      </c>
    </row>
    <row r="18" spans="1:5" x14ac:dyDescent="0.2">
      <c r="A18">
        <v>108.09</v>
      </c>
      <c r="C18">
        <v>101.8</v>
      </c>
      <c r="D18">
        <v>112.73</v>
      </c>
      <c r="E18">
        <v>119.29</v>
      </c>
    </row>
    <row r="19" spans="1:5" x14ac:dyDescent="0.2">
      <c r="A19">
        <v>108.09</v>
      </c>
      <c r="C19">
        <v>101.8</v>
      </c>
      <c r="D19">
        <v>112.73</v>
      </c>
      <c r="E19">
        <v>112.59</v>
      </c>
    </row>
    <row r="20" spans="1:5" x14ac:dyDescent="0.2">
      <c r="A20">
        <v>103.85</v>
      </c>
      <c r="C20">
        <v>111.72</v>
      </c>
      <c r="D20">
        <v>113.75</v>
      </c>
      <c r="E20">
        <v>112.59</v>
      </c>
    </row>
    <row r="21" spans="1:5" x14ac:dyDescent="0.2">
      <c r="A21">
        <v>103.85</v>
      </c>
      <c r="C21">
        <v>111.72</v>
      </c>
      <c r="D21">
        <v>113.75</v>
      </c>
      <c r="E21">
        <v>115.55</v>
      </c>
    </row>
    <row r="22" spans="1:5" x14ac:dyDescent="0.2">
      <c r="A22">
        <v>107.53</v>
      </c>
      <c r="C22">
        <v>104.76</v>
      </c>
      <c r="D22">
        <v>106.01</v>
      </c>
      <c r="E22">
        <v>115.55</v>
      </c>
    </row>
    <row r="23" spans="1:5" x14ac:dyDescent="0.2">
      <c r="A23">
        <v>107.53</v>
      </c>
      <c r="C23">
        <v>104.76</v>
      </c>
      <c r="D23">
        <v>106.01</v>
      </c>
      <c r="E23">
        <v>109.48</v>
      </c>
    </row>
    <row r="24" spans="1:5" x14ac:dyDescent="0.2">
      <c r="A24">
        <v>114.4</v>
      </c>
      <c r="C24">
        <v>109.59</v>
      </c>
      <c r="D24">
        <v>104.63</v>
      </c>
      <c r="E24">
        <v>109.48</v>
      </c>
    </row>
    <row r="25" spans="1:5" x14ac:dyDescent="0.2">
      <c r="A25">
        <v>114.4</v>
      </c>
      <c r="C25">
        <v>109.59</v>
      </c>
      <c r="D25">
        <v>104.63</v>
      </c>
      <c r="E25">
        <v>107.32</v>
      </c>
    </row>
    <row r="26" spans="1:5" x14ac:dyDescent="0.2">
      <c r="A26">
        <v>105.79</v>
      </c>
      <c r="C26">
        <v>117.81</v>
      </c>
      <c r="D26">
        <v>112.01</v>
      </c>
      <c r="E26">
        <v>107.32</v>
      </c>
    </row>
    <row r="27" spans="1:5" x14ac:dyDescent="0.2">
      <c r="A27">
        <v>105.79</v>
      </c>
      <c r="C27">
        <v>117.81</v>
      </c>
      <c r="D27">
        <v>112.01</v>
      </c>
      <c r="E27">
        <v>107.45</v>
      </c>
    </row>
    <row r="28" spans="1:5" x14ac:dyDescent="0.2">
      <c r="A28">
        <v>103.09</v>
      </c>
      <c r="C28">
        <v>102.13</v>
      </c>
      <c r="D28">
        <v>105.01</v>
      </c>
      <c r="E28">
        <v>107.45</v>
      </c>
    </row>
    <row r="29" spans="1:5" x14ac:dyDescent="0.2">
      <c r="A29">
        <v>103.09</v>
      </c>
      <c r="C29">
        <v>102.13</v>
      </c>
      <c r="D29">
        <v>105.01</v>
      </c>
      <c r="E29">
        <v>116.05</v>
      </c>
    </row>
    <row r="30" spans="1:5" x14ac:dyDescent="0.2">
      <c r="A30">
        <v>106.75</v>
      </c>
      <c r="C30">
        <v>103.21</v>
      </c>
      <c r="D30">
        <v>106.46</v>
      </c>
      <c r="E30">
        <v>116.05</v>
      </c>
    </row>
    <row r="31" spans="1:5" x14ac:dyDescent="0.2">
      <c r="A31">
        <v>106.75</v>
      </c>
      <c r="C31">
        <v>103.21</v>
      </c>
      <c r="D31">
        <v>106.46</v>
      </c>
      <c r="E31">
        <v>107.06</v>
      </c>
    </row>
    <row r="32" spans="1:5" x14ac:dyDescent="0.2">
      <c r="A32">
        <v>108.75</v>
      </c>
      <c r="C32">
        <v>106.55</v>
      </c>
      <c r="D32">
        <v>106.69</v>
      </c>
      <c r="E32">
        <v>107.06</v>
      </c>
    </row>
    <row r="33" spans="1:5" x14ac:dyDescent="0.2">
      <c r="A33">
        <v>108.75</v>
      </c>
      <c r="C33">
        <v>106.55</v>
      </c>
      <c r="D33">
        <v>106.69</v>
      </c>
      <c r="E33">
        <v>110.85</v>
      </c>
    </row>
    <row r="34" spans="1:5" x14ac:dyDescent="0.2">
      <c r="A34">
        <v>101.73</v>
      </c>
      <c r="C34">
        <v>103.25</v>
      </c>
      <c r="D34">
        <v>107.32</v>
      </c>
      <c r="E34">
        <v>110.85</v>
      </c>
    </row>
    <row r="35" spans="1:5" x14ac:dyDescent="0.2">
      <c r="A35">
        <v>101.73</v>
      </c>
      <c r="C35">
        <v>103.25</v>
      </c>
      <c r="D35">
        <v>107.32</v>
      </c>
      <c r="E35">
        <v>114.52</v>
      </c>
    </row>
    <row r="36" spans="1:5" x14ac:dyDescent="0.2">
      <c r="A36">
        <v>107.89</v>
      </c>
      <c r="C36">
        <v>104.32</v>
      </c>
      <c r="D36">
        <v>109.19</v>
      </c>
      <c r="E36">
        <v>114.52</v>
      </c>
    </row>
    <row r="37" spans="1:5" x14ac:dyDescent="0.2">
      <c r="A37">
        <v>107.89</v>
      </c>
      <c r="C37">
        <v>104.32</v>
      </c>
      <c r="D37">
        <v>109.19</v>
      </c>
      <c r="E37">
        <v>112.58</v>
      </c>
    </row>
    <row r="38" spans="1:5" x14ac:dyDescent="0.2">
      <c r="A38">
        <v>102.82</v>
      </c>
      <c r="C38">
        <v>111.11</v>
      </c>
      <c r="D38">
        <v>119.35</v>
      </c>
      <c r="E38">
        <v>112.58</v>
      </c>
    </row>
    <row r="39" spans="1:5" x14ac:dyDescent="0.2">
      <c r="A39">
        <v>102.82</v>
      </c>
      <c r="C39">
        <v>111.11</v>
      </c>
      <c r="D39">
        <v>119.35</v>
      </c>
      <c r="E39">
        <v>110.29</v>
      </c>
    </row>
    <row r="40" spans="1:5" x14ac:dyDescent="0.2">
      <c r="A40">
        <v>103.71</v>
      </c>
      <c r="C40">
        <v>108.74</v>
      </c>
      <c r="D40">
        <v>108.53</v>
      </c>
      <c r="E40">
        <v>110.29</v>
      </c>
    </row>
    <row r="41" spans="1:5" x14ac:dyDescent="0.2">
      <c r="A41">
        <v>103.71</v>
      </c>
      <c r="C41">
        <v>108.74</v>
      </c>
      <c r="D41">
        <v>108.53</v>
      </c>
      <c r="E41">
        <v>111.78</v>
      </c>
    </row>
    <row r="42" spans="1:5" x14ac:dyDescent="0.2">
      <c r="A42">
        <v>110.01</v>
      </c>
      <c r="C42">
        <v>106.36</v>
      </c>
      <c r="D42">
        <v>104.3</v>
      </c>
      <c r="E42">
        <v>111.78</v>
      </c>
    </row>
    <row r="43" spans="1:5" x14ac:dyDescent="0.2">
      <c r="A43">
        <v>110.01</v>
      </c>
      <c r="C43">
        <v>106.36</v>
      </c>
      <c r="D43">
        <v>104.3</v>
      </c>
      <c r="E43">
        <v>107.23</v>
      </c>
    </row>
    <row r="44" spans="1:5" x14ac:dyDescent="0.2">
      <c r="A44">
        <v>109.81</v>
      </c>
      <c r="C44">
        <v>115.38</v>
      </c>
      <c r="D44">
        <v>109.19</v>
      </c>
      <c r="E44">
        <v>107.23</v>
      </c>
    </row>
    <row r="45" spans="1:5" x14ac:dyDescent="0.2">
      <c r="A45">
        <v>109.81</v>
      </c>
      <c r="C45">
        <v>115.38</v>
      </c>
      <c r="D45">
        <v>109.19</v>
      </c>
      <c r="E45">
        <v>108.8</v>
      </c>
    </row>
    <row r="46" spans="1:5" x14ac:dyDescent="0.2">
      <c r="A46">
        <v>104.01</v>
      </c>
      <c r="C46">
        <v>108.55</v>
      </c>
      <c r="D46">
        <v>104.1</v>
      </c>
      <c r="E46">
        <v>108.8</v>
      </c>
    </row>
    <row r="47" spans="1:5" x14ac:dyDescent="0.2">
      <c r="A47">
        <v>104.01</v>
      </c>
      <c r="C47">
        <v>108.55</v>
      </c>
      <c r="D47">
        <v>104.1</v>
      </c>
      <c r="E47">
        <v>114.31</v>
      </c>
    </row>
    <row r="48" spans="1:5" x14ac:dyDescent="0.2">
      <c r="A48">
        <v>110.98</v>
      </c>
      <c r="C48">
        <v>105.03</v>
      </c>
      <c r="D48">
        <v>103.84</v>
      </c>
      <c r="E48">
        <v>114.31</v>
      </c>
    </row>
    <row r="49" spans="1:5" x14ac:dyDescent="0.2">
      <c r="A49">
        <v>110.98</v>
      </c>
      <c r="C49">
        <v>105.03</v>
      </c>
      <c r="D49">
        <v>103.84</v>
      </c>
      <c r="E49">
        <v>109.77</v>
      </c>
    </row>
    <row r="50" spans="1:5" x14ac:dyDescent="0.2">
      <c r="A50">
        <v>110.67</v>
      </c>
      <c r="C50">
        <v>107.18</v>
      </c>
      <c r="D50">
        <v>110.54</v>
      </c>
      <c r="E50">
        <v>109.77</v>
      </c>
    </row>
    <row r="51" spans="1:5" x14ac:dyDescent="0.2">
      <c r="A51">
        <v>110.67</v>
      </c>
      <c r="C51">
        <v>107.18</v>
      </c>
      <c r="D51">
        <v>110.54</v>
      </c>
      <c r="E51">
        <v>107.38</v>
      </c>
    </row>
    <row r="52" spans="1:5" x14ac:dyDescent="0.2">
      <c r="A52">
        <v>104.1</v>
      </c>
      <c r="C52">
        <v>104.2</v>
      </c>
      <c r="D52">
        <v>106.79</v>
      </c>
      <c r="E52">
        <v>107.38</v>
      </c>
    </row>
    <row r="53" spans="1:5" x14ac:dyDescent="0.2">
      <c r="A53">
        <v>104.1</v>
      </c>
      <c r="C53">
        <v>104.2</v>
      </c>
      <c r="D53">
        <v>106.79</v>
      </c>
      <c r="E53">
        <v>115.21</v>
      </c>
    </row>
    <row r="54" spans="1:5" x14ac:dyDescent="0.2">
      <c r="A54">
        <v>101.98</v>
      </c>
      <c r="C54">
        <v>103.22</v>
      </c>
      <c r="D54">
        <v>105.67</v>
      </c>
      <c r="E54">
        <v>115.21</v>
      </c>
    </row>
    <row r="55" spans="1:5" x14ac:dyDescent="0.2">
      <c r="A55">
        <v>101.98</v>
      </c>
      <c r="C55">
        <v>103.22</v>
      </c>
      <c r="D55">
        <v>105.67</v>
      </c>
      <c r="E55">
        <v>109.29</v>
      </c>
    </row>
    <row r="56" spans="1:5" x14ac:dyDescent="0.2">
      <c r="A56">
        <v>105.02</v>
      </c>
      <c r="C56">
        <v>110.97</v>
      </c>
      <c r="D56">
        <v>111.07</v>
      </c>
      <c r="E56">
        <v>109.29</v>
      </c>
    </row>
    <row r="57" spans="1:5" x14ac:dyDescent="0.2">
      <c r="A57">
        <v>105.02</v>
      </c>
      <c r="C57">
        <v>110.97</v>
      </c>
      <c r="D57">
        <v>111.07</v>
      </c>
      <c r="E57">
        <v>111.48</v>
      </c>
    </row>
    <row r="58" spans="1:5" x14ac:dyDescent="0.2">
      <c r="A58">
        <v>103.87</v>
      </c>
      <c r="C58">
        <v>107.18</v>
      </c>
      <c r="D58">
        <v>114.39</v>
      </c>
      <c r="E58">
        <v>111.48</v>
      </c>
    </row>
    <row r="59" spans="1:5" x14ac:dyDescent="0.2">
      <c r="A59">
        <v>103.87</v>
      </c>
      <c r="C59">
        <v>107.18</v>
      </c>
      <c r="D59">
        <v>114.39</v>
      </c>
      <c r="E59">
        <v>116.46</v>
      </c>
    </row>
    <row r="60" spans="1:5" x14ac:dyDescent="0.2">
      <c r="A60">
        <v>108.5</v>
      </c>
      <c r="C60">
        <v>103.19</v>
      </c>
      <c r="D60">
        <v>103.7</v>
      </c>
      <c r="E60">
        <v>116.46</v>
      </c>
    </row>
    <row r="61" spans="1:5" x14ac:dyDescent="0.2">
      <c r="A61">
        <v>108.5</v>
      </c>
      <c r="C61">
        <v>103.19</v>
      </c>
      <c r="D61">
        <v>103.7</v>
      </c>
      <c r="E61">
        <v>109.52</v>
      </c>
    </row>
    <row r="62" spans="1:5" x14ac:dyDescent="0.2">
      <c r="A62">
        <v>112.53</v>
      </c>
      <c r="C62">
        <v>110.69</v>
      </c>
      <c r="D62">
        <v>107.9</v>
      </c>
      <c r="E62">
        <v>109.52</v>
      </c>
    </row>
    <row r="63" spans="1:5" x14ac:dyDescent="0.2">
      <c r="A63">
        <v>112.53</v>
      </c>
      <c r="C63">
        <v>110.69</v>
      </c>
      <c r="D63">
        <v>107.9</v>
      </c>
      <c r="E63">
        <v>107.69</v>
      </c>
    </row>
    <row r="64" spans="1:5" x14ac:dyDescent="0.2">
      <c r="A64">
        <v>107.62</v>
      </c>
      <c r="C64">
        <v>108.17</v>
      </c>
      <c r="D64">
        <v>104.62</v>
      </c>
      <c r="E64">
        <v>107.69</v>
      </c>
    </row>
    <row r="65" spans="1:5" x14ac:dyDescent="0.2">
      <c r="A65">
        <v>107.62</v>
      </c>
      <c r="C65">
        <v>108.17</v>
      </c>
      <c r="D65">
        <v>104.62</v>
      </c>
      <c r="E65">
        <v>118.86</v>
      </c>
    </row>
    <row r="66" spans="1:5" x14ac:dyDescent="0.2">
      <c r="A66">
        <v>102.93</v>
      </c>
      <c r="C66">
        <v>104.74</v>
      </c>
      <c r="D66">
        <v>102.55</v>
      </c>
      <c r="E66">
        <v>118.86</v>
      </c>
    </row>
    <row r="67" spans="1:5" x14ac:dyDescent="0.2">
      <c r="A67">
        <v>102.93</v>
      </c>
      <c r="C67">
        <v>104.74</v>
      </c>
      <c r="D67">
        <v>102.55</v>
      </c>
      <c r="E67">
        <v>111.09</v>
      </c>
    </row>
    <row r="68" spans="1:5" x14ac:dyDescent="0.2">
      <c r="A68">
        <v>111.21</v>
      </c>
      <c r="C68">
        <v>107.39</v>
      </c>
      <c r="D68">
        <v>104.9</v>
      </c>
      <c r="E68">
        <v>111.09</v>
      </c>
    </row>
    <row r="69" spans="1:5" x14ac:dyDescent="0.2">
      <c r="A69">
        <v>111.21</v>
      </c>
      <c r="C69">
        <v>107.39</v>
      </c>
      <c r="D69">
        <v>104.9</v>
      </c>
      <c r="E69">
        <v>107.75</v>
      </c>
    </row>
    <row r="70" spans="1:5" x14ac:dyDescent="0.2">
      <c r="A70">
        <v>100.77</v>
      </c>
      <c r="C70">
        <v>104.99</v>
      </c>
      <c r="D70">
        <v>110.04</v>
      </c>
      <c r="E70">
        <v>107.75</v>
      </c>
    </row>
    <row r="71" spans="1:5" x14ac:dyDescent="0.2">
      <c r="A71">
        <v>100.77</v>
      </c>
      <c r="C71">
        <v>104.99</v>
      </c>
      <c r="D71">
        <v>110.04</v>
      </c>
      <c r="E71">
        <v>115.02</v>
      </c>
    </row>
    <row r="72" spans="1:5" x14ac:dyDescent="0.2">
      <c r="A72">
        <v>119.9</v>
      </c>
      <c r="C72">
        <v>103.24</v>
      </c>
      <c r="D72">
        <v>104.42</v>
      </c>
      <c r="E72">
        <v>115.02</v>
      </c>
    </row>
    <row r="73" spans="1:5" x14ac:dyDescent="0.2">
      <c r="A73">
        <v>119.9</v>
      </c>
      <c r="C73">
        <v>103.24</v>
      </c>
      <c r="D73">
        <v>104.42</v>
      </c>
      <c r="E73">
        <v>110.64</v>
      </c>
    </row>
    <row r="74" spans="1:5" x14ac:dyDescent="0.2">
      <c r="A74">
        <v>105.1</v>
      </c>
      <c r="C74">
        <v>102.69</v>
      </c>
      <c r="D74">
        <v>112.42</v>
      </c>
      <c r="E74">
        <v>110.64</v>
      </c>
    </row>
    <row r="75" spans="1:5" x14ac:dyDescent="0.2">
      <c r="A75">
        <v>105.1</v>
      </c>
      <c r="C75">
        <v>102.69</v>
      </c>
      <c r="D75">
        <v>112.42</v>
      </c>
      <c r="E75">
        <v>112.46</v>
      </c>
    </row>
    <row r="76" spans="1:5" x14ac:dyDescent="0.2">
      <c r="A76">
        <v>101.97</v>
      </c>
      <c r="C76">
        <v>111.95</v>
      </c>
      <c r="D76">
        <v>116.8</v>
      </c>
      <c r="E76">
        <v>112.46</v>
      </c>
    </row>
    <row r="77" spans="1:5" x14ac:dyDescent="0.2">
      <c r="A77">
        <v>101.97</v>
      </c>
      <c r="C77">
        <v>111.95</v>
      </c>
      <c r="D77">
        <v>116.8</v>
      </c>
      <c r="E77">
        <v>118.34</v>
      </c>
    </row>
    <row r="78" spans="1:5" x14ac:dyDescent="0.2">
      <c r="A78">
        <v>104.75</v>
      </c>
      <c r="C78">
        <v>103.55</v>
      </c>
      <c r="D78">
        <v>110.23</v>
      </c>
      <c r="E78">
        <v>118.34</v>
      </c>
    </row>
    <row r="79" spans="1:5" x14ac:dyDescent="0.2">
      <c r="A79">
        <v>104.75</v>
      </c>
      <c r="C79">
        <v>103.55</v>
      </c>
      <c r="D79">
        <v>110.23</v>
      </c>
      <c r="E79">
        <v>112.14</v>
      </c>
    </row>
    <row r="80" spans="1:5" x14ac:dyDescent="0.2">
      <c r="A80">
        <v>120.01</v>
      </c>
      <c r="C80">
        <v>107.34</v>
      </c>
      <c r="D80">
        <v>104.97</v>
      </c>
      <c r="E80">
        <v>112.14</v>
      </c>
    </row>
    <row r="81" spans="1:5" x14ac:dyDescent="0.2">
      <c r="A81">
        <v>120.01</v>
      </c>
      <c r="C81">
        <v>107.34</v>
      </c>
      <c r="D81">
        <v>104.97</v>
      </c>
      <c r="E81">
        <v>109.86</v>
      </c>
    </row>
    <row r="82" spans="1:5" x14ac:dyDescent="0.2">
      <c r="A82">
        <v>108.84</v>
      </c>
      <c r="C82">
        <v>109.59</v>
      </c>
      <c r="D82">
        <v>106.61</v>
      </c>
      <c r="E82">
        <v>109.86</v>
      </c>
    </row>
    <row r="83" spans="1:5" x14ac:dyDescent="0.2">
      <c r="A83">
        <v>108.84</v>
      </c>
      <c r="C83">
        <v>109.59</v>
      </c>
      <c r="D83">
        <v>106.61</v>
      </c>
      <c r="E83">
        <v>108.19</v>
      </c>
    </row>
    <row r="84" spans="1:5" x14ac:dyDescent="0.2">
      <c r="A84">
        <v>105.42</v>
      </c>
      <c r="C84">
        <v>108.89</v>
      </c>
      <c r="D84">
        <v>104.79</v>
      </c>
      <c r="E84">
        <v>108.19</v>
      </c>
    </row>
    <row r="85" spans="1:5" x14ac:dyDescent="0.2">
      <c r="A85">
        <v>105.42</v>
      </c>
      <c r="C85">
        <v>108.89</v>
      </c>
      <c r="D85">
        <v>104.79</v>
      </c>
      <c r="E85">
        <v>116.51</v>
      </c>
    </row>
    <row r="86" spans="1:5" x14ac:dyDescent="0.2">
      <c r="A86">
        <v>112.39</v>
      </c>
      <c r="C86">
        <v>103.39</v>
      </c>
      <c r="D86">
        <v>106.89</v>
      </c>
      <c r="E86">
        <v>116.51</v>
      </c>
    </row>
    <row r="87" spans="1:5" x14ac:dyDescent="0.2">
      <c r="A87">
        <v>112.39</v>
      </c>
      <c r="C87">
        <v>103.39</v>
      </c>
      <c r="D87">
        <v>106.89</v>
      </c>
      <c r="E87">
        <v>107.92</v>
      </c>
    </row>
    <row r="88" spans="1:5" x14ac:dyDescent="0.2">
      <c r="A88">
        <v>103.28</v>
      </c>
      <c r="C88">
        <v>111.15</v>
      </c>
      <c r="D88">
        <v>110.91</v>
      </c>
      <c r="E88">
        <v>107.92</v>
      </c>
    </row>
    <row r="89" spans="1:5" x14ac:dyDescent="0.2">
      <c r="A89">
        <v>103.28</v>
      </c>
      <c r="C89">
        <v>111.15</v>
      </c>
      <c r="D89">
        <v>110.91</v>
      </c>
      <c r="E89">
        <v>110.39</v>
      </c>
    </row>
    <row r="90" spans="1:5" x14ac:dyDescent="0.2">
      <c r="A90">
        <v>103.51</v>
      </c>
      <c r="C90">
        <v>101.87</v>
      </c>
      <c r="D90">
        <v>105.23</v>
      </c>
      <c r="E90">
        <v>110.39</v>
      </c>
    </row>
    <row r="91" spans="1:5" x14ac:dyDescent="0.2">
      <c r="A91">
        <v>103.51</v>
      </c>
      <c r="C91">
        <v>101.87</v>
      </c>
      <c r="D91">
        <v>105.23</v>
      </c>
      <c r="E91">
        <v>107.5</v>
      </c>
    </row>
    <row r="92" spans="1:5" x14ac:dyDescent="0.2">
      <c r="A92">
        <v>108.24</v>
      </c>
      <c r="C92">
        <v>103.81</v>
      </c>
      <c r="D92">
        <v>106.39</v>
      </c>
      <c r="E92">
        <v>107.5</v>
      </c>
    </row>
    <row r="93" spans="1:5" x14ac:dyDescent="0.2">
      <c r="A93">
        <v>108.24</v>
      </c>
      <c r="C93">
        <v>103.81</v>
      </c>
      <c r="D93">
        <v>106.39</v>
      </c>
      <c r="E93">
        <v>107.55</v>
      </c>
    </row>
    <row r="94" spans="1:5" x14ac:dyDescent="0.2">
      <c r="A94">
        <v>103.68</v>
      </c>
      <c r="C94">
        <v>112.24</v>
      </c>
      <c r="D94">
        <v>116.81</v>
      </c>
      <c r="E94">
        <v>107.55</v>
      </c>
    </row>
    <row r="95" spans="1:5" x14ac:dyDescent="0.2">
      <c r="A95">
        <v>103.68</v>
      </c>
      <c r="C95">
        <v>112.24</v>
      </c>
      <c r="D95">
        <v>116.81</v>
      </c>
      <c r="E95">
        <v>112.83</v>
      </c>
    </row>
    <row r="96" spans="1:5" x14ac:dyDescent="0.2">
      <c r="A96">
        <v>104.92</v>
      </c>
      <c r="C96">
        <v>102.04</v>
      </c>
      <c r="D96">
        <v>109.45</v>
      </c>
      <c r="E96">
        <v>112.83</v>
      </c>
    </row>
    <row r="97" spans="1:5" x14ac:dyDescent="0.2">
      <c r="A97">
        <v>104.92</v>
      </c>
      <c r="C97">
        <v>102.04</v>
      </c>
      <c r="D97">
        <v>109.45</v>
      </c>
      <c r="E97">
        <v>120.36</v>
      </c>
    </row>
    <row r="98" spans="1:5" x14ac:dyDescent="0.2">
      <c r="A98">
        <v>113.93</v>
      </c>
      <c r="C98">
        <v>103.94</v>
      </c>
      <c r="D98">
        <v>106.79</v>
      </c>
      <c r="E98">
        <v>120.36</v>
      </c>
    </row>
    <row r="99" spans="1:5" x14ac:dyDescent="0.2">
      <c r="A99">
        <v>113.93</v>
      </c>
      <c r="C99">
        <v>103.94</v>
      </c>
      <c r="D99">
        <v>106.79</v>
      </c>
      <c r="E99">
        <v>106.96</v>
      </c>
    </row>
    <row r="100" spans="1:5" x14ac:dyDescent="0.2">
      <c r="A100">
        <v>115.45</v>
      </c>
      <c r="C100">
        <v>112.95</v>
      </c>
      <c r="D100">
        <v>107.99</v>
      </c>
      <c r="E100">
        <v>106.96</v>
      </c>
    </row>
    <row r="101" spans="1:5" x14ac:dyDescent="0.2">
      <c r="A101">
        <v>115.45</v>
      </c>
      <c r="C101">
        <v>112.95</v>
      </c>
      <c r="D101">
        <v>105.18</v>
      </c>
      <c r="E101">
        <v>109.93</v>
      </c>
    </row>
    <row r="102" spans="1:5" x14ac:dyDescent="0.2">
      <c r="A102">
        <v>106.31</v>
      </c>
      <c r="C102">
        <v>108.59</v>
      </c>
      <c r="D102">
        <v>105.18</v>
      </c>
      <c r="E102">
        <v>109.93</v>
      </c>
    </row>
    <row r="103" spans="1:5" x14ac:dyDescent="0.2">
      <c r="A103">
        <v>106.31</v>
      </c>
      <c r="C103">
        <v>106.69</v>
      </c>
      <c r="D103">
        <v>105.18</v>
      </c>
      <c r="E103">
        <v>115.86</v>
      </c>
    </row>
    <row r="104" spans="1:5" x14ac:dyDescent="0.2">
      <c r="A104">
        <v>107.62</v>
      </c>
      <c r="C104">
        <v>106.69</v>
      </c>
      <c r="D104">
        <v>103.69</v>
      </c>
      <c r="E104">
        <v>115.86</v>
      </c>
    </row>
    <row r="105" spans="1:5" x14ac:dyDescent="0.2">
      <c r="A105">
        <v>107.62</v>
      </c>
      <c r="C105">
        <v>106.69</v>
      </c>
      <c r="D105">
        <v>115.56</v>
      </c>
      <c r="E105">
        <v>108.27</v>
      </c>
    </row>
    <row r="106" spans="1:5" x14ac:dyDescent="0.2">
      <c r="A106">
        <v>102.91</v>
      </c>
      <c r="C106">
        <v>114.31</v>
      </c>
      <c r="D106">
        <v>115.56</v>
      </c>
      <c r="E106">
        <v>108.27</v>
      </c>
    </row>
    <row r="107" spans="1:5" x14ac:dyDescent="0.2">
      <c r="A107">
        <v>102.91</v>
      </c>
      <c r="C107">
        <v>103.97</v>
      </c>
      <c r="D107">
        <v>105.13</v>
      </c>
      <c r="E107">
        <v>107.6</v>
      </c>
    </row>
    <row r="108" spans="1:5" x14ac:dyDescent="0.2">
      <c r="A108">
        <v>104.76</v>
      </c>
      <c r="C108">
        <v>103.97</v>
      </c>
      <c r="D108">
        <v>105.13</v>
      </c>
      <c r="E108">
        <v>107.6</v>
      </c>
    </row>
    <row r="109" spans="1:5" x14ac:dyDescent="0.2">
      <c r="A109">
        <v>104.76</v>
      </c>
      <c r="C109">
        <v>102</v>
      </c>
      <c r="D109">
        <v>104.67</v>
      </c>
      <c r="E109">
        <v>111.66</v>
      </c>
    </row>
    <row r="110" spans="1:5" x14ac:dyDescent="0.2">
      <c r="A110">
        <v>108.17</v>
      </c>
      <c r="C110">
        <v>102</v>
      </c>
      <c r="D110">
        <v>104.67</v>
      </c>
      <c r="E110">
        <v>107.99</v>
      </c>
    </row>
    <row r="111" spans="1:5" x14ac:dyDescent="0.2">
      <c r="A111">
        <v>108.17</v>
      </c>
      <c r="C111">
        <v>109.28</v>
      </c>
      <c r="D111">
        <v>114.59</v>
      </c>
      <c r="E111">
        <v>107.99</v>
      </c>
    </row>
    <row r="112" spans="1:5" x14ac:dyDescent="0.2">
      <c r="A112">
        <v>109.6</v>
      </c>
      <c r="C112">
        <v>109.28</v>
      </c>
      <c r="D112">
        <v>114.59</v>
      </c>
      <c r="E112">
        <v>109.33</v>
      </c>
    </row>
    <row r="113" spans="1:5" x14ac:dyDescent="0.2">
      <c r="A113">
        <v>109.6</v>
      </c>
      <c r="C113">
        <v>102.84</v>
      </c>
      <c r="D113">
        <v>110.12</v>
      </c>
      <c r="E113">
        <v>109.33</v>
      </c>
    </row>
    <row r="114" spans="1:5" x14ac:dyDescent="0.2">
      <c r="A114">
        <v>101.78</v>
      </c>
      <c r="C114">
        <v>102.84</v>
      </c>
      <c r="D114">
        <v>110.12</v>
      </c>
      <c r="E114">
        <v>120.16</v>
      </c>
    </row>
    <row r="115" spans="1:5" x14ac:dyDescent="0.2">
      <c r="A115">
        <v>101.78</v>
      </c>
      <c r="C115">
        <v>102.28</v>
      </c>
      <c r="D115">
        <v>105.05</v>
      </c>
      <c r="E115">
        <v>120.16</v>
      </c>
    </row>
    <row r="116" spans="1:5" x14ac:dyDescent="0.2">
      <c r="A116">
        <v>105.37</v>
      </c>
      <c r="C116">
        <v>102.28</v>
      </c>
      <c r="D116">
        <v>105.05</v>
      </c>
      <c r="E116">
        <v>112.73</v>
      </c>
    </row>
    <row r="117" spans="1:5" x14ac:dyDescent="0.2">
      <c r="A117">
        <v>105.37</v>
      </c>
      <c r="C117">
        <v>108.08</v>
      </c>
      <c r="D117">
        <v>108.66</v>
      </c>
      <c r="E117">
        <v>112.73</v>
      </c>
    </row>
    <row r="118" spans="1:5" x14ac:dyDescent="0.2">
      <c r="A118">
        <v>112.46</v>
      </c>
      <c r="C118">
        <v>108.08</v>
      </c>
      <c r="D118">
        <v>108.66</v>
      </c>
      <c r="E118">
        <v>105.76</v>
      </c>
    </row>
    <row r="119" spans="1:5" x14ac:dyDescent="0.2">
      <c r="A119">
        <v>112.46</v>
      </c>
      <c r="C119">
        <v>105.21</v>
      </c>
      <c r="D119">
        <v>105.21</v>
      </c>
      <c r="E119">
        <v>105.76</v>
      </c>
    </row>
    <row r="120" spans="1:5" x14ac:dyDescent="0.2">
      <c r="A120">
        <v>108.12</v>
      </c>
      <c r="C120">
        <v>105.21</v>
      </c>
      <c r="D120">
        <v>105.21</v>
      </c>
      <c r="E120">
        <v>113.05</v>
      </c>
    </row>
    <row r="121" spans="1:5" x14ac:dyDescent="0.2">
      <c r="A121">
        <v>108.12</v>
      </c>
      <c r="C121">
        <v>106.39</v>
      </c>
      <c r="D121">
        <v>103.18</v>
      </c>
      <c r="E121">
        <v>113.05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B6098-4EDA-E349-8108-C7020D37C53D}">
  <dimension ref="A1:J121"/>
  <sheetViews>
    <sheetView workbookViewId="0">
      <selection activeCell="H2" sqref="H2"/>
    </sheetView>
  </sheetViews>
  <sheetFormatPr baseColWidth="10" defaultRowHeight="16" x14ac:dyDescent="0.2"/>
  <cols>
    <col min="1" max="1" width="16.5" bestFit="1" customWidth="1"/>
    <col min="7" max="7" width="11.5" customWidth="1"/>
    <col min="9" max="9" width="14.1640625" bestFit="1" customWidth="1"/>
    <col min="10" max="10" width="15.5" customWidth="1"/>
  </cols>
  <sheetData>
    <row r="1" spans="1:10" x14ac:dyDescent="0.2">
      <c r="A1" t="s">
        <v>32</v>
      </c>
      <c r="B1" t="s">
        <v>28</v>
      </c>
      <c r="C1" t="s">
        <v>11</v>
      </c>
      <c r="D1" t="s">
        <v>26</v>
      </c>
      <c r="E1" s="1" t="s">
        <v>9</v>
      </c>
      <c r="F1" t="s">
        <v>0</v>
      </c>
      <c r="G1" t="s">
        <v>8</v>
      </c>
      <c r="H1" t="s">
        <v>14</v>
      </c>
      <c r="I1" t="s">
        <v>24</v>
      </c>
      <c r="J1" t="s">
        <v>23</v>
      </c>
    </row>
    <row r="2" spans="1:10" x14ac:dyDescent="0.2">
      <c r="A2">
        <v>124.47</v>
      </c>
      <c r="B2" t="s">
        <v>17</v>
      </c>
      <c r="C2" t="s">
        <v>17</v>
      </c>
      <c r="D2">
        <v>154.18</v>
      </c>
      <c r="E2" t="s">
        <v>17</v>
      </c>
      <c r="F2" t="s">
        <v>1</v>
      </c>
      <c r="G2">
        <f>AVERAGE(A:A)</f>
        <v>122.75750000000001</v>
      </c>
      <c r="H2">
        <v>21</v>
      </c>
      <c r="I2">
        <f t="shared" ref="I2:I5" si="0">G2-H2</f>
        <v>101.75750000000001</v>
      </c>
      <c r="J2">
        <f>13+I2</f>
        <v>114.75750000000001</v>
      </c>
    </row>
    <row r="3" spans="1:10" x14ac:dyDescent="0.2">
      <c r="A3">
        <v>124.47</v>
      </c>
      <c r="D3">
        <v>154.33000000000001</v>
      </c>
      <c r="F3" t="s">
        <v>3</v>
      </c>
      <c r="G3" t="s">
        <v>17</v>
      </c>
      <c r="H3" t="s">
        <v>17</v>
      </c>
      <c r="I3" t="s">
        <v>17</v>
      </c>
      <c r="J3" t="s">
        <v>17</v>
      </c>
    </row>
    <row r="4" spans="1:10" x14ac:dyDescent="0.2">
      <c r="A4">
        <v>128.07</v>
      </c>
      <c r="D4">
        <v>154.33000000000001</v>
      </c>
      <c r="F4" t="s">
        <v>2</v>
      </c>
      <c r="G4" t="s">
        <v>17</v>
      </c>
      <c r="H4" t="s">
        <v>17</v>
      </c>
      <c r="I4" t="s">
        <v>17</v>
      </c>
      <c r="J4" t="s">
        <v>17</v>
      </c>
    </row>
    <row r="5" spans="1:10" x14ac:dyDescent="0.2">
      <c r="A5">
        <v>128.07</v>
      </c>
      <c r="D5">
        <v>152.76</v>
      </c>
      <c r="F5" t="s">
        <v>4</v>
      </c>
      <c r="G5">
        <f>AVERAGE(D:D)</f>
        <v>153.65016666666668</v>
      </c>
      <c r="H5">
        <f>AVERAGE(43,44)</f>
        <v>43.5</v>
      </c>
      <c r="I5">
        <f t="shared" si="0"/>
        <v>110.15016666666668</v>
      </c>
      <c r="J5">
        <f>13+I5</f>
        <v>123.15016666666668</v>
      </c>
    </row>
    <row r="6" spans="1:10" x14ac:dyDescent="0.2">
      <c r="A6">
        <v>119.82</v>
      </c>
      <c r="D6">
        <v>152.76</v>
      </c>
      <c r="F6" t="s">
        <v>5</v>
      </c>
      <c r="G6" t="s">
        <v>17</v>
      </c>
      <c r="H6" t="s">
        <v>17</v>
      </c>
      <c r="I6" t="s">
        <v>17</v>
      </c>
      <c r="J6" t="s">
        <v>17</v>
      </c>
    </row>
    <row r="7" spans="1:10" x14ac:dyDescent="0.2">
      <c r="A7">
        <v>119.82</v>
      </c>
      <c r="D7">
        <v>151.43</v>
      </c>
    </row>
    <row r="8" spans="1:10" x14ac:dyDescent="0.2">
      <c r="A8">
        <v>121.94</v>
      </c>
      <c r="D8">
        <v>151.43</v>
      </c>
    </row>
    <row r="9" spans="1:10" x14ac:dyDescent="0.2">
      <c r="A9">
        <v>121.94</v>
      </c>
      <c r="D9">
        <v>151.31</v>
      </c>
    </row>
    <row r="10" spans="1:10" x14ac:dyDescent="0.2">
      <c r="A10">
        <v>123.85</v>
      </c>
      <c r="D10">
        <v>151.31</v>
      </c>
    </row>
    <row r="11" spans="1:10" x14ac:dyDescent="0.2">
      <c r="A11">
        <v>123.85</v>
      </c>
      <c r="D11">
        <v>158.53</v>
      </c>
    </row>
    <row r="12" spans="1:10" x14ac:dyDescent="0.2">
      <c r="A12">
        <v>131.88</v>
      </c>
      <c r="D12">
        <v>158.53</v>
      </c>
    </row>
    <row r="13" spans="1:10" x14ac:dyDescent="0.2">
      <c r="A13">
        <v>131.88</v>
      </c>
      <c r="D13">
        <v>150.51</v>
      </c>
    </row>
    <row r="14" spans="1:10" x14ac:dyDescent="0.2">
      <c r="A14">
        <v>120.57</v>
      </c>
      <c r="D14">
        <v>150.51</v>
      </c>
    </row>
    <row r="15" spans="1:10" x14ac:dyDescent="0.2">
      <c r="A15">
        <v>120.57</v>
      </c>
      <c r="D15">
        <v>153.24</v>
      </c>
    </row>
    <row r="16" spans="1:10" x14ac:dyDescent="0.2">
      <c r="A16">
        <v>118.81</v>
      </c>
      <c r="D16">
        <v>153.24</v>
      </c>
    </row>
    <row r="17" spans="1:4" x14ac:dyDescent="0.2">
      <c r="A17">
        <v>118.81</v>
      </c>
      <c r="D17">
        <v>155.36000000000001</v>
      </c>
    </row>
    <row r="18" spans="1:4" x14ac:dyDescent="0.2">
      <c r="A18">
        <v>129.87</v>
      </c>
      <c r="D18">
        <v>155.36000000000001</v>
      </c>
    </row>
    <row r="19" spans="1:4" x14ac:dyDescent="0.2">
      <c r="A19">
        <v>129.87</v>
      </c>
      <c r="D19">
        <v>154.78</v>
      </c>
    </row>
    <row r="20" spans="1:4" x14ac:dyDescent="0.2">
      <c r="A20">
        <v>119.8</v>
      </c>
      <c r="D20">
        <v>154.78</v>
      </c>
    </row>
    <row r="21" spans="1:4" x14ac:dyDescent="0.2">
      <c r="A21">
        <v>119.8</v>
      </c>
      <c r="D21">
        <v>149.18</v>
      </c>
    </row>
    <row r="22" spans="1:4" x14ac:dyDescent="0.2">
      <c r="A22">
        <v>121.89</v>
      </c>
      <c r="D22">
        <v>149.18</v>
      </c>
    </row>
    <row r="23" spans="1:4" x14ac:dyDescent="0.2">
      <c r="A23">
        <v>121.89</v>
      </c>
      <c r="D23">
        <v>158.15</v>
      </c>
    </row>
    <row r="24" spans="1:4" x14ac:dyDescent="0.2">
      <c r="A24">
        <v>127.15</v>
      </c>
      <c r="D24">
        <v>158.15</v>
      </c>
    </row>
    <row r="25" spans="1:4" x14ac:dyDescent="0.2">
      <c r="A25">
        <v>127.15</v>
      </c>
      <c r="D25">
        <v>149.07</v>
      </c>
    </row>
    <row r="26" spans="1:4" x14ac:dyDescent="0.2">
      <c r="A26">
        <v>115.73</v>
      </c>
      <c r="D26">
        <v>149.07</v>
      </c>
    </row>
    <row r="27" spans="1:4" x14ac:dyDescent="0.2">
      <c r="A27">
        <v>115.73</v>
      </c>
      <c r="D27">
        <v>150.07</v>
      </c>
    </row>
    <row r="28" spans="1:4" x14ac:dyDescent="0.2">
      <c r="A28">
        <v>119.13</v>
      </c>
      <c r="D28">
        <v>150.07</v>
      </c>
    </row>
    <row r="29" spans="1:4" x14ac:dyDescent="0.2">
      <c r="A29">
        <v>119.13</v>
      </c>
      <c r="D29">
        <v>161.12</v>
      </c>
    </row>
    <row r="30" spans="1:4" x14ac:dyDescent="0.2">
      <c r="A30">
        <v>128.09</v>
      </c>
      <c r="D30">
        <v>161.12</v>
      </c>
    </row>
    <row r="31" spans="1:4" x14ac:dyDescent="0.2">
      <c r="A31">
        <v>128.09</v>
      </c>
      <c r="D31">
        <v>150.36000000000001</v>
      </c>
    </row>
    <row r="32" spans="1:4" x14ac:dyDescent="0.2">
      <c r="A32">
        <v>122.69</v>
      </c>
      <c r="D32">
        <v>149.75</v>
      </c>
    </row>
    <row r="33" spans="1:4" x14ac:dyDescent="0.2">
      <c r="A33">
        <v>122.69</v>
      </c>
      <c r="D33">
        <v>149.75</v>
      </c>
    </row>
    <row r="34" spans="1:4" x14ac:dyDescent="0.2">
      <c r="A34">
        <v>120.84</v>
      </c>
      <c r="D34">
        <v>156.02000000000001</v>
      </c>
    </row>
    <row r="35" spans="1:4" x14ac:dyDescent="0.2">
      <c r="A35">
        <v>120.84</v>
      </c>
      <c r="D35">
        <v>156.02000000000001</v>
      </c>
    </row>
    <row r="36" spans="1:4" x14ac:dyDescent="0.2">
      <c r="A36">
        <v>124.43</v>
      </c>
      <c r="D36">
        <v>154.13</v>
      </c>
    </row>
    <row r="37" spans="1:4" x14ac:dyDescent="0.2">
      <c r="A37">
        <v>124.43</v>
      </c>
      <c r="D37">
        <v>154.13</v>
      </c>
    </row>
    <row r="38" spans="1:4" x14ac:dyDescent="0.2">
      <c r="A38">
        <v>121.12</v>
      </c>
      <c r="D38">
        <v>152.65</v>
      </c>
    </row>
    <row r="39" spans="1:4" x14ac:dyDescent="0.2">
      <c r="A39">
        <v>121.12</v>
      </c>
      <c r="D39">
        <v>152.65</v>
      </c>
    </row>
    <row r="40" spans="1:4" x14ac:dyDescent="0.2">
      <c r="A40">
        <v>121.28</v>
      </c>
      <c r="D40">
        <v>161.31</v>
      </c>
    </row>
    <row r="41" spans="1:4" x14ac:dyDescent="0.2">
      <c r="A41">
        <v>121.28</v>
      </c>
      <c r="D41">
        <v>161.31</v>
      </c>
    </row>
    <row r="42" spans="1:4" x14ac:dyDescent="0.2">
      <c r="A42">
        <v>132.36000000000001</v>
      </c>
      <c r="D42">
        <v>151.58000000000001</v>
      </c>
    </row>
    <row r="43" spans="1:4" x14ac:dyDescent="0.2">
      <c r="A43">
        <v>132.36000000000001</v>
      </c>
      <c r="D43">
        <v>151.58000000000001</v>
      </c>
    </row>
    <row r="44" spans="1:4" x14ac:dyDescent="0.2">
      <c r="A44">
        <v>124.36</v>
      </c>
      <c r="D44">
        <v>148.87</v>
      </c>
    </row>
    <row r="45" spans="1:4" x14ac:dyDescent="0.2">
      <c r="A45">
        <v>124.36</v>
      </c>
      <c r="D45">
        <v>148.87</v>
      </c>
    </row>
    <row r="46" spans="1:4" x14ac:dyDescent="0.2">
      <c r="A46">
        <v>119.46</v>
      </c>
      <c r="D46">
        <v>156.56</v>
      </c>
    </row>
    <row r="47" spans="1:4" x14ac:dyDescent="0.2">
      <c r="A47">
        <v>119.46</v>
      </c>
      <c r="D47">
        <v>156.56</v>
      </c>
    </row>
    <row r="48" spans="1:4" x14ac:dyDescent="0.2">
      <c r="A48">
        <v>127.52</v>
      </c>
      <c r="D48">
        <v>149.6</v>
      </c>
    </row>
    <row r="49" spans="1:4" x14ac:dyDescent="0.2">
      <c r="A49">
        <v>127.52</v>
      </c>
      <c r="D49">
        <v>149.6</v>
      </c>
    </row>
    <row r="50" spans="1:4" x14ac:dyDescent="0.2">
      <c r="A50">
        <v>125.37</v>
      </c>
      <c r="D50">
        <v>148.05000000000001</v>
      </c>
    </row>
    <row r="51" spans="1:4" x14ac:dyDescent="0.2">
      <c r="A51">
        <v>125.37</v>
      </c>
      <c r="D51">
        <v>148.05000000000001</v>
      </c>
    </row>
    <row r="52" spans="1:4" x14ac:dyDescent="0.2">
      <c r="A52">
        <v>122.21</v>
      </c>
      <c r="D52">
        <v>155.43</v>
      </c>
    </row>
    <row r="53" spans="1:4" x14ac:dyDescent="0.2">
      <c r="A53">
        <v>122.21</v>
      </c>
      <c r="D53">
        <v>155.43</v>
      </c>
    </row>
    <row r="54" spans="1:4" x14ac:dyDescent="0.2">
      <c r="A54">
        <v>130.63</v>
      </c>
      <c r="D54">
        <v>156.71</v>
      </c>
    </row>
    <row r="55" spans="1:4" x14ac:dyDescent="0.2">
      <c r="A55">
        <v>130.63</v>
      </c>
      <c r="D55">
        <v>156.71</v>
      </c>
    </row>
    <row r="56" spans="1:4" x14ac:dyDescent="0.2">
      <c r="A56">
        <v>119.53</v>
      </c>
      <c r="D56">
        <v>152.36000000000001</v>
      </c>
    </row>
    <row r="57" spans="1:4" x14ac:dyDescent="0.2">
      <c r="A57">
        <v>119.53</v>
      </c>
      <c r="D57">
        <v>152.36000000000001</v>
      </c>
    </row>
    <row r="58" spans="1:4" x14ac:dyDescent="0.2">
      <c r="A58">
        <v>122.07</v>
      </c>
      <c r="D58">
        <v>155.49</v>
      </c>
    </row>
    <row r="59" spans="1:4" x14ac:dyDescent="0.2">
      <c r="A59">
        <v>122.07</v>
      </c>
      <c r="D59">
        <v>155.49</v>
      </c>
    </row>
    <row r="60" spans="1:4" x14ac:dyDescent="0.2">
      <c r="A60">
        <v>125.51</v>
      </c>
      <c r="D60">
        <v>155.38999999999999</v>
      </c>
    </row>
    <row r="61" spans="1:4" x14ac:dyDescent="0.2">
      <c r="A61">
        <v>125.51</v>
      </c>
      <c r="D61">
        <v>155.38999999999999</v>
      </c>
    </row>
    <row r="62" spans="1:4" x14ac:dyDescent="0.2">
      <c r="A62">
        <v>126.06</v>
      </c>
      <c r="D62">
        <v>150.01</v>
      </c>
    </row>
    <row r="63" spans="1:4" x14ac:dyDescent="0.2">
      <c r="A63">
        <v>126.06</v>
      </c>
      <c r="D63">
        <v>150.01</v>
      </c>
    </row>
    <row r="64" spans="1:4" x14ac:dyDescent="0.2">
      <c r="A64">
        <v>121.6</v>
      </c>
      <c r="D64">
        <v>156.76</v>
      </c>
    </row>
    <row r="65" spans="1:4" x14ac:dyDescent="0.2">
      <c r="A65">
        <v>121.6</v>
      </c>
      <c r="D65">
        <v>156.76</v>
      </c>
    </row>
    <row r="66" spans="1:4" x14ac:dyDescent="0.2">
      <c r="A66">
        <v>124.17</v>
      </c>
      <c r="D66">
        <v>152.41999999999999</v>
      </c>
    </row>
    <row r="67" spans="1:4" x14ac:dyDescent="0.2">
      <c r="A67">
        <v>124.17</v>
      </c>
      <c r="D67">
        <v>152.41999999999999</v>
      </c>
    </row>
    <row r="68" spans="1:4" x14ac:dyDescent="0.2">
      <c r="A68">
        <v>124.4</v>
      </c>
      <c r="D68">
        <v>150.71</v>
      </c>
    </row>
    <row r="69" spans="1:4" x14ac:dyDescent="0.2">
      <c r="A69">
        <v>124.4</v>
      </c>
      <c r="D69">
        <v>150.71</v>
      </c>
    </row>
    <row r="70" spans="1:4" x14ac:dyDescent="0.2">
      <c r="A70">
        <v>119.37</v>
      </c>
      <c r="D70">
        <v>149.99</v>
      </c>
    </row>
    <row r="71" spans="1:4" x14ac:dyDescent="0.2">
      <c r="A71">
        <v>119.37</v>
      </c>
      <c r="D71">
        <v>149.99</v>
      </c>
    </row>
    <row r="72" spans="1:4" x14ac:dyDescent="0.2">
      <c r="A72">
        <v>119.35</v>
      </c>
      <c r="D72">
        <v>156.52000000000001</v>
      </c>
    </row>
    <row r="73" spans="1:4" x14ac:dyDescent="0.2">
      <c r="A73">
        <v>119.35</v>
      </c>
      <c r="D73">
        <v>156.52000000000001</v>
      </c>
    </row>
    <row r="74" spans="1:4" x14ac:dyDescent="0.2">
      <c r="A74">
        <v>120.44</v>
      </c>
      <c r="D74">
        <v>152.94999999999999</v>
      </c>
    </row>
    <row r="75" spans="1:4" x14ac:dyDescent="0.2">
      <c r="A75">
        <v>120.44</v>
      </c>
      <c r="D75">
        <v>152.94999999999999</v>
      </c>
    </row>
    <row r="76" spans="1:4" x14ac:dyDescent="0.2">
      <c r="A76">
        <v>119.07</v>
      </c>
      <c r="D76">
        <v>158.72</v>
      </c>
    </row>
    <row r="77" spans="1:4" x14ac:dyDescent="0.2">
      <c r="A77">
        <v>119.07</v>
      </c>
      <c r="D77">
        <v>158.72</v>
      </c>
    </row>
    <row r="78" spans="1:4" x14ac:dyDescent="0.2">
      <c r="A78">
        <v>122.11</v>
      </c>
      <c r="D78">
        <v>156.87</v>
      </c>
    </row>
    <row r="79" spans="1:4" x14ac:dyDescent="0.2">
      <c r="A79">
        <v>122.11</v>
      </c>
      <c r="D79">
        <v>156.87</v>
      </c>
    </row>
    <row r="80" spans="1:4" x14ac:dyDescent="0.2">
      <c r="A80">
        <v>131.88</v>
      </c>
      <c r="D80">
        <v>149.97999999999999</v>
      </c>
    </row>
    <row r="81" spans="1:4" x14ac:dyDescent="0.2">
      <c r="A81">
        <v>131.88</v>
      </c>
      <c r="D81">
        <v>149.97999999999999</v>
      </c>
    </row>
    <row r="82" spans="1:4" x14ac:dyDescent="0.2">
      <c r="A82">
        <v>117.24</v>
      </c>
      <c r="D82">
        <v>149.56</v>
      </c>
    </row>
    <row r="83" spans="1:4" x14ac:dyDescent="0.2">
      <c r="A83">
        <v>117.24</v>
      </c>
      <c r="D83">
        <v>149.56</v>
      </c>
    </row>
    <row r="84" spans="1:4" x14ac:dyDescent="0.2">
      <c r="A84">
        <v>114.56</v>
      </c>
      <c r="D84">
        <v>154.19999999999999</v>
      </c>
    </row>
    <row r="85" spans="1:4" x14ac:dyDescent="0.2">
      <c r="A85">
        <v>114.56</v>
      </c>
      <c r="D85">
        <v>154.19999999999999</v>
      </c>
    </row>
    <row r="86" spans="1:4" x14ac:dyDescent="0.2">
      <c r="A86">
        <v>123.43</v>
      </c>
      <c r="D86">
        <v>151.37</v>
      </c>
    </row>
    <row r="87" spans="1:4" x14ac:dyDescent="0.2">
      <c r="A87">
        <v>123.43</v>
      </c>
      <c r="D87">
        <v>151.37</v>
      </c>
    </row>
    <row r="88" spans="1:4" x14ac:dyDescent="0.2">
      <c r="A88">
        <v>119.98</v>
      </c>
      <c r="D88">
        <v>152.1</v>
      </c>
    </row>
    <row r="89" spans="1:4" x14ac:dyDescent="0.2">
      <c r="A89">
        <v>119.98</v>
      </c>
      <c r="D89">
        <v>152.1</v>
      </c>
    </row>
    <row r="90" spans="1:4" x14ac:dyDescent="0.2">
      <c r="A90">
        <v>120.85</v>
      </c>
      <c r="D90">
        <v>160.38</v>
      </c>
    </row>
    <row r="91" spans="1:4" x14ac:dyDescent="0.2">
      <c r="A91">
        <v>120.85</v>
      </c>
      <c r="D91">
        <v>160.38</v>
      </c>
    </row>
    <row r="92" spans="1:4" x14ac:dyDescent="0.2">
      <c r="A92">
        <v>125.03</v>
      </c>
      <c r="D92">
        <v>153.81</v>
      </c>
    </row>
    <row r="93" spans="1:4" x14ac:dyDescent="0.2">
      <c r="A93">
        <v>125.03</v>
      </c>
      <c r="D93">
        <v>153.81</v>
      </c>
    </row>
    <row r="94" spans="1:4" x14ac:dyDescent="0.2">
      <c r="A94">
        <v>118.22</v>
      </c>
      <c r="D94">
        <v>153.59</v>
      </c>
    </row>
    <row r="95" spans="1:4" x14ac:dyDescent="0.2">
      <c r="A95">
        <v>118.22</v>
      </c>
      <c r="D95">
        <v>153.59</v>
      </c>
    </row>
    <row r="96" spans="1:4" x14ac:dyDescent="0.2">
      <c r="A96">
        <v>118.57</v>
      </c>
      <c r="D96">
        <v>162.68</v>
      </c>
    </row>
    <row r="97" spans="1:4" x14ac:dyDescent="0.2">
      <c r="A97">
        <v>118.57</v>
      </c>
      <c r="D97">
        <v>162.68</v>
      </c>
    </row>
    <row r="98" spans="1:4" x14ac:dyDescent="0.2">
      <c r="A98">
        <v>132.77000000000001</v>
      </c>
      <c r="D98">
        <v>152.44999999999999</v>
      </c>
    </row>
    <row r="99" spans="1:4" x14ac:dyDescent="0.2">
      <c r="A99">
        <v>132.77000000000001</v>
      </c>
      <c r="D99">
        <v>152.44999999999999</v>
      </c>
    </row>
    <row r="100" spans="1:4" x14ac:dyDescent="0.2">
      <c r="A100">
        <v>123.85</v>
      </c>
      <c r="D100">
        <v>150.06</v>
      </c>
    </row>
    <row r="101" spans="1:4" x14ac:dyDescent="0.2">
      <c r="A101">
        <v>123.85</v>
      </c>
      <c r="D101">
        <v>150.06</v>
      </c>
    </row>
    <row r="102" spans="1:4" x14ac:dyDescent="0.2">
      <c r="A102">
        <v>122.35</v>
      </c>
      <c r="D102">
        <v>152.59</v>
      </c>
    </row>
    <row r="103" spans="1:4" x14ac:dyDescent="0.2">
      <c r="A103">
        <v>122.35</v>
      </c>
      <c r="D103">
        <v>152.59</v>
      </c>
    </row>
    <row r="104" spans="1:4" x14ac:dyDescent="0.2">
      <c r="A104">
        <v>118.46</v>
      </c>
      <c r="D104">
        <v>151.38999999999999</v>
      </c>
    </row>
    <row r="105" spans="1:4" x14ac:dyDescent="0.2">
      <c r="A105">
        <v>118.46</v>
      </c>
      <c r="D105">
        <v>151.38999999999999</v>
      </c>
    </row>
    <row r="106" spans="1:4" x14ac:dyDescent="0.2">
      <c r="A106">
        <v>118.35</v>
      </c>
      <c r="D106">
        <v>151.27000000000001</v>
      </c>
    </row>
    <row r="107" spans="1:4" x14ac:dyDescent="0.2">
      <c r="A107">
        <v>118.35</v>
      </c>
      <c r="D107">
        <v>151.27000000000001</v>
      </c>
    </row>
    <row r="108" spans="1:4" x14ac:dyDescent="0.2">
      <c r="A108">
        <v>118.14</v>
      </c>
      <c r="D108">
        <v>159.63</v>
      </c>
    </row>
    <row r="109" spans="1:4" x14ac:dyDescent="0.2">
      <c r="A109">
        <v>118.14</v>
      </c>
      <c r="D109">
        <v>159.63</v>
      </c>
    </row>
    <row r="110" spans="1:4" x14ac:dyDescent="0.2">
      <c r="A110">
        <v>124.9</v>
      </c>
      <c r="D110">
        <v>152.71</v>
      </c>
    </row>
    <row r="111" spans="1:4" x14ac:dyDescent="0.2">
      <c r="A111">
        <v>124.9</v>
      </c>
      <c r="D111">
        <v>152.71</v>
      </c>
    </row>
    <row r="112" spans="1:4" x14ac:dyDescent="0.2">
      <c r="A112">
        <v>119.33</v>
      </c>
      <c r="D112">
        <v>154.31</v>
      </c>
    </row>
    <row r="113" spans="1:4" x14ac:dyDescent="0.2">
      <c r="A113">
        <v>119.33</v>
      </c>
      <c r="D113">
        <v>154.31</v>
      </c>
    </row>
    <row r="114" spans="1:4" x14ac:dyDescent="0.2">
      <c r="A114">
        <v>119.11</v>
      </c>
      <c r="D114">
        <v>156.30000000000001</v>
      </c>
    </row>
    <row r="115" spans="1:4" x14ac:dyDescent="0.2">
      <c r="A115">
        <v>119.11</v>
      </c>
      <c r="D115">
        <v>156.30000000000001</v>
      </c>
    </row>
    <row r="116" spans="1:4" x14ac:dyDescent="0.2">
      <c r="A116">
        <v>123.42</v>
      </c>
      <c r="D116">
        <v>153.12</v>
      </c>
    </row>
    <row r="117" spans="1:4" x14ac:dyDescent="0.2">
      <c r="A117">
        <v>123.42</v>
      </c>
      <c r="D117">
        <v>153.12</v>
      </c>
    </row>
    <row r="118" spans="1:4" x14ac:dyDescent="0.2">
      <c r="A118">
        <v>128.86000000000001</v>
      </c>
      <c r="D118">
        <v>151.91</v>
      </c>
    </row>
    <row r="119" spans="1:4" x14ac:dyDescent="0.2">
      <c r="A119">
        <v>128.86000000000001</v>
      </c>
      <c r="D119">
        <v>151.91</v>
      </c>
    </row>
    <row r="120" spans="1:4" x14ac:dyDescent="0.2">
      <c r="A120">
        <v>119.13</v>
      </c>
      <c r="D120">
        <v>154.63999999999999</v>
      </c>
    </row>
    <row r="121" spans="1:4" x14ac:dyDescent="0.2">
      <c r="A121">
        <v>119.13</v>
      </c>
      <c r="D121">
        <v>154.63999999999999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01573-4C06-BC4D-BFF2-025535BCD224}">
  <dimension ref="A1:J121"/>
  <sheetViews>
    <sheetView zoomScale="125" workbookViewId="0">
      <selection activeCell="H23" sqref="H23"/>
    </sheetView>
  </sheetViews>
  <sheetFormatPr baseColWidth="10" defaultRowHeight="16" x14ac:dyDescent="0.2"/>
  <cols>
    <col min="9" max="9" width="14.1640625" bestFit="1" customWidth="1"/>
    <col min="10" max="10" width="16" bestFit="1" customWidth="1"/>
  </cols>
  <sheetData>
    <row r="1" spans="1:10" x14ac:dyDescent="0.2">
      <c r="A1" t="s">
        <v>13</v>
      </c>
      <c r="B1" t="s">
        <v>12</v>
      </c>
      <c r="C1" t="s">
        <v>11</v>
      </c>
      <c r="D1" t="s">
        <v>26</v>
      </c>
      <c r="E1" t="s">
        <v>9</v>
      </c>
      <c r="F1" t="s">
        <v>0</v>
      </c>
      <c r="G1" t="s">
        <v>8</v>
      </c>
      <c r="H1" t="s">
        <v>14</v>
      </c>
      <c r="I1" t="s">
        <v>24</v>
      </c>
      <c r="J1" t="s">
        <v>23</v>
      </c>
    </row>
    <row r="2" spans="1:10" x14ac:dyDescent="0.2">
      <c r="A2">
        <v>111.47</v>
      </c>
      <c r="B2" t="s">
        <v>17</v>
      </c>
      <c r="C2">
        <v>117.65</v>
      </c>
      <c r="D2">
        <v>124.74</v>
      </c>
      <c r="E2">
        <v>117.9</v>
      </c>
      <c r="F2" t="s">
        <v>1</v>
      </c>
      <c r="G2">
        <f>AVERAGE(A:A)</f>
        <v>118.98475000000003</v>
      </c>
      <c r="H2">
        <f>AVERAGE(20,22)</f>
        <v>21</v>
      </c>
      <c r="I2">
        <f t="shared" ref="I2:I6" si="0">G2-H2</f>
        <v>97.984750000000034</v>
      </c>
      <c r="J2">
        <f>13+I2</f>
        <v>110.98475000000003</v>
      </c>
    </row>
    <row r="3" spans="1:10" x14ac:dyDescent="0.2">
      <c r="A3">
        <v>111.47</v>
      </c>
      <c r="C3">
        <v>117.65</v>
      </c>
      <c r="D3">
        <v>124.74</v>
      </c>
      <c r="E3">
        <v>117.9</v>
      </c>
      <c r="F3" t="s">
        <v>3</v>
      </c>
      <c r="G3" t="s">
        <v>17</v>
      </c>
      <c r="H3" t="s">
        <v>17</v>
      </c>
      <c r="I3" t="s">
        <v>17</v>
      </c>
      <c r="J3" t="s">
        <v>17</v>
      </c>
    </row>
    <row r="4" spans="1:10" x14ac:dyDescent="0.2">
      <c r="A4">
        <v>123.8</v>
      </c>
      <c r="C4">
        <v>127.82</v>
      </c>
      <c r="D4">
        <v>121.3</v>
      </c>
      <c r="E4">
        <v>135.22</v>
      </c>
      <c r="F4" t="s">
        <v>2</v>
      </c>
      <c r="G4">
        <f>AVERAGE(C:C)</f>
        <v>121.16458333333334</v>
      </c>
      <c r="H4">
        <f>AVERAGE(22,23)</f>
        <v>22.5</v>
      </c>
      <c r="I4">
        <f t="shared" si="0"/>
        <v>98.66458333333334</v>
      </c>
      <c r="J4">
        <f t="shared" ref="J4:J6" si="1">13+I4</f>
        <v>111.66458333333334</v>
      </c>
    </row>
    <row r="5" spans="1:10" x14ac:dyDescent="0.2">
      <c r="A5">
        <v>123.8</v>
      </c>
      <c r="C5">
        <v>127.82</v>
      </c>
      <c r="D5">
        <v>121.3</v>
      </c>
      <c r="E5">
        <v>135.22</v>
      </c>
      <c r="F5" t="s">
        <v>4</v>
      </c>
      <c r="G5">
        <f>AVERAGE(D:D)</f>
        <v>122.51683333333332</v>
      </c>
      <c r="H5">
        <f>AVERAGE(22,24)</f>
        <v>23</v>
      </c>
      <c r="I5">
        <f t="shared" si="0"/>
        <v>99.516833333333324</v>
      </c>
      <c r="J5">
        <f t="shared" si="1"/>
        <v>112.51683333333332</v>
      </c>
    </row>
    <row r="6" spans="1:10" x14ac:dyDescent="0.2">
      <c r="A6">
        <v>126.7</v>
      </c>
      <c r="C6">
        <v>120.37</v>
      </c>
      <c r="D6">
        <v>121.04</v>
      </c>
      <c r="E6">
        <v>132.01</v>
      </c>
      <c r="F6" t="s">
        <v>5</v>
      </c>
      <c r="G6">
        <f>AVERAGE(E:E)</f>
        <v>127.27183333333339</v>
      </c>
      <c r="H6">
        <f>AVERAGE(24,28)</f>
        <v>26</v>
      </c>
      <c r="I6">
        <f t="shared" si="0"/>
        <v>101.27183333333339</v>
      </c>
      <c r="J6">
        <f t="shared" si="1"/>
        <v>114.27183333333339</v>
      </c>
    </row>
    <row r="7" spans="1:10" x14ac:dyDescent="0.2">
      <c r="A7">
        <v>126.7</v>
      </c>
      <c r="C7">
        <v>120.37</v>
      </c>
      <c r="D7">
        <v>121.04</v>
      </c>
      <c r="E7">
        <v>132.01</v>
      </c>
    </row>
    <row r="8" spans="1:10" x14ac:dyDescent="0.2">
      <c r="A8">
        <v>112.93</v>
      </c>
      <c r="C8">
        <v>116.64</v>
      </c>
      <c r="D8">
        <v>117.05</v>
      </c>
      <c r="E8">
        <v>118.16</v>
      </c>
    </row>
    <row r="9" spans="1:10" x14ac:dyDescent="0.2">
      <c r="A9">
        <v>112.93</v>
      </c>
      <c r="C9">
        <v>116.64</v>
      </c>
      <c r="D9">
        <v>117.05</v>
      </c>
      <c r="E9">
        <v>118.16</v>
      </c>
    </row>
    <row r="10" spans="1:10" x14ac:dyDescent="0.2">
      <c r="A10">
        <v>112.06</v>
      </c>
      <c r="C10">
        <v>124.62</v>
      </c>
      <c r="D10">
        <v>117.96</v>
      </c>
      <c r="E10">
        <v>125.6</v>
      </c>
    </row>
    <row r="11" spans="1:10" x14ac:dyDescent="0.2">
      <c r="A11">
        <v>112.06</v>
      </c>
      <c r="C11">
        <v>124.62</v>
      </c>
      <c r="D11">
        <v>117.96</v>
      </c>
      <c r="E11">
        <v>125.6</v>
      </c>
    </row>
    <row r="12" spans="1:10" x14ac:dyDescent="0.2">
      <c r="A12">
        <v>118.75</v>
      </c>
      <c r="C12">
        <v>116.73</v>
      </c>
      <c r="D12">
        <v>120.35</v>
      </c>
      <c r="E12">
        <v>129.47999999999999</v>
      </c>
    </row>
    <row r="13" spans="1:10" x14ac:dyDescent="0.2">
      <c r="A13">
        <v>118.75</v>
      </c>
      <c r="C13">
        <v>116.73</v>
      </c>
      <c r="D13">
        <v>120.35</v>
      </c>
      <c r="E13">
        <v>129.47999999999999</v>
      </c>
    </row>
    <row r="14" spans="1:10" x14ac:dyDescent="0.2">
      <c r="A14">
        <v>116.53</v>
      </c>
      <c r="C14">
        <v>118</v>
      </c>
      <c r="D14">
        <v>128.57</v>
      </c>
      <c r="E14">
        <v>118.35</v>
      </c>
    </row>
    <row r="15" spans="1:10" x14ac:dyDescent="0.2">
      <c r="A15">
        <v>116.53</v>
      </c>
      <c r="C15">
        <v>118</v>
      </c>
      <c r="D15">
        <v>128.57</v>
      </c>
      <c r="E15">
        <v>118.35</v>
      </c>
    </row>
    <row r="16" spans="1:10" x14ac:dyDescent="0.2">
      <c r="A16">
        <v>117.77</v>
      </c>
      <c r="C16">
        <v>127.18</v>
      </c>
      <c r="D16">
        <v>127.96</v>
      </c>
      <c r="E16">
        <v>120.44</v>
      </c>
    </row>
    <row r="17" spans="1:5" x14ac:dyDescent="0.2">
      <c r="A17">
        <v>117.77</v>
      </c>
      <c r="C17">
        <v>127.18</v>
      </c>
      <c r="D17">
        <v>127.96</v>
      </c>
      <c r="E17">
        <v>120.44</v>
      </c>
    </row>
    <row r="18" spans="1:5" x14ac:dyDescent="0.2">
      <c r="A18">
        <v>120.46</v>
      </c>
      <c r="C18">
        <v>118.43</v>
      </c>
      <c r="D18">
        <v>122.72</v>
      </c>
      <c r="E18">
        <v>154.19</v>
      </c>
    </row>
    <row r="19" spans="1:5" x14ac:dyDescent="0.2">
      <c r="A19">
        <v>120.46</v>
      </c>
      <c r="C19">
        <v>118.43</v>
      </c>
      <c r="D19">
        <v>122.72</v>
      </c>
      <c r="E19">
        <v>154.19</v>
      </c>
    </row>
    <row r="20" spans="1:5" x14ac:dyDescent="0.2">
      <c r="A20">
        <v>119.97</v>
      </c>
      <c r="C20">
        <v>119.32</v>
      </c>
      <c r="D20">
        <v>127.67</v>
      </c>
      <c r="E20">
        <v>132.30000000000001</v>
      </c>
    </row>
    <row r="21" spans="1:5" x14ac:dyDescent="0.2">
      <c r="A21">
        <v>119.97</v>
      </c>
      <c r="C21">
        <v>119.32</v>
      </c>
      <c r="D21">
        <v>127.67</v>
      </c>
      <c r="E21">
        <v>132.30000000000001</v>
      </c>
    </row>
    <row r="22" spans="1:5" x14ac:dyDescent="0.2">
      <c r="A22">
        <v>119.85</v>
      </c>
      <c r="C22">
        <v>122.12</v>
      </c>
      <c r="D22">
        <v>125.72</v>
      </c>
      <c r="E22">
        <v>129.71</v>
      </c>
    </row>
    <row r="23" spans="1:5" x14ac:dyDescent="0.2">
      <c r="A23">
        <v>119.85</v>
      </c>
      <c r="C23">
        <v>122.12</v>
      </c>
      <c r="D23">
        <v>125.72</v>
      </c>
      <c r="E23">
        <v>129.71</v>
      </c>
    </row>
    <row r="24" spans="1:5" x14ac:dyDescent="0.2">
      <c r="A24">
        <v>121.27</v>
      </c>
      <c r="C24">
        <v>112.39</v>
      </c>
      <c r="D24">
        <v>120.51</v>
      </c>
      <c r="E24">
        <v>122.57</v>
      </c>
    </row>
    <row r="25" spans="1:5" x14ac:dyDescent="0.2">
      <c r="A25">
        <v>121.27</v>
      </c>
      <c r="C25">
        <v>112.39</v>
      </c>
      <c r="D25">
        <v>120.51</v>
      </c>
      <c r="E25">
        <v>122.57</v>
      </c>
    </row>
    <row r="26" spans="1:5" x14ac:dyDescent="0.2">
      <c r="A26">
        <v>116.21</v>
      </c>
      <c r="C26">
        <v>117.61</v>
      </c>
      <c r="D26">
        <v>121.22</v>
      </c>
      <c r="E26">
        <v>117.53</v>
      </c>
    </row>
    <row r="27" spans="1:5" x14ac:dyDescent="0.2">
      <c r="A27">
        <v>116.21</v>
      </c>
      <c r="C27">
        <v>117.61</v>
      </c>
      <c r="D27">
        <v>121.22</v>
      </c>
      <c r="E27">
        <v>117.53</v>
      </c>
    </row>
    <row r="28" spans="1:5" x14ac:dyDescent="0.2">
      <c r="A28">
        <v>118.81</v>
      </c>
      <c r="C28">
        <v>123.05</v>
      </c>
      <c r="D28">
        <v>119.75</v>
      </c>
      <c r="E28">
        <v>119.08</v>
      </c>
    </row>
    <row r="29" spans="1:5" x14ac:dyDescent="0.2">
      <c r="A29">
        <v>118.81</v>
      </c>
      <c r="C29">
        <v>123.05</v>
      </c>
      <c r="D29">
        <v>119.75</v>
      </c>
      <c r="E29">
        <v>119.08</v>
      </c>
    </row>
    <row r="30" spans="1:5" x14ac:dyDescent="0.2">
      <c r="A30">
        <v>120.96</v>
      </c>
      <c r="C30">
        <v>120.19</v>
      </c>
      <c r="D30">
        <v>120.37</v>
      </c>
      <c r="E30">
        <v>124.92</v>
      </c>
    </row>
    <row r="31" spans="1:5" x14ac:dyDescent="0.2">
      <c r="A31">
        <v>120.96</v>
      </c>
      <c r="C31">
        <v>120.19</v>
      </c>
      <c r="D31">
        <v>120.37</v>
      </c>
      <c r="E31">
        <v>124.92</v>
      </c>
    </row>
    <row r="32" spans="1:5" x14ac:dyDescent="0.2">
      <c r="A32">
        <v>111.51</v>
      </c>
      <c r="C32">
        <v>119.69</v>
      </c>
      <c r="D32">
        <v>129.57</v>
      </c>
      <c r="E32">
        <v>119.74</v>
      </c>
    </row>
    <row r="33" spans="1:5" x14ac:dyDescent="0.2">
      <c r="A33">
        <v>111.51</v>
      </c>
      <c r="C33">
        <v>119.69</v>
      </c>
      <c r="D33">
        <v>129.57</v>
      </c>
      <c r="E33">
        <v>119.74</v>
      </c>
    </row>
    <row r="34" spans="1:5" x14ac:dyDescent="0.2">
      <c r="A34">
        <v>118.24</v>
      </c>
      <c r="C34">
        <v>122.72</v>
      </c>
      <c r="D34">
        <v>127.17</v>
      </c>
      <c r="E34">
        <v>117.84</v>
      </c>
    </row>
    <row r="35" spans="1:5" x14ac:dyDescent="0.2">
      <c r="A35">
        <v>118.24</v>
      </c>
      <c r="C35">
        <v>122.72</v>
      </c>
      <c r="D35">
        <v>127.17</v>
      </c>
      <c r="E35">
        <v>117.84</v>
      </c>
    </row>
    <row r="36" spans="1:5" x14ac:dyDescent="0.2">
      <c r="A36">
        <v>114.68</v>
      </c>
      <c r="C36">
        <v>126.46</v>
      </c>
      <c r="D36">
        <v>122.21</v>
      </c>
      <c r="E36">
        <v>133.68</v>
      </c>
    </row>
    <row r="37" spans="1:5" x14ac:dyDescent="0.2">
      <c r="A37">
        <v>114.68</v>
      </c>
      <c r="C37">
        <v>126.46</v>
      </c>
      <c r="D37">
        <v>122.21</v>
      </c>
      <c r="E37">
        <v>133.68</v>
      </c>
    </row>
    <row r="38" spans="1:5" x14ac:dyDescent="0.2">
      <c r="A38">
        <v>122.51</v>
      </c>
      <c r="C38">
        <v>121.03</v>
      </c>
      <c r="D38">
        <v>121.45</v>
      </c>
      <c r="E38">
        <v>126.59</v>
      </c>
    </row>
    <row r="39" spans="1:5" x14ac:dyDescent="0.2">
      <c r="A39">
        <v>122.51</v>
      </c>
      <c r="C39">
        <v>121.03</v>
      </c>
      <c r="D39">
        <v>121.45</v>
      </c>
      <c r="E39">
        <v>126.59</v>
      </c>
    </row>
    <row r="40" spans="1:5" x14ac:dyDescent="0.2">
      <c r="A40">
        <v>124.61</v>
      </c>
      <c r="C40">
        <v>121.99</v>
      </c>
      <c r="D40">
        <v>115.46</v>
      </c>
      <c r="E40">
        <v>123.21</v>
      </c>
    </row>
    <row r="41" spans="1:5" x14ac:dyDescent="0.2">
      <c r="A41">
        <v>124.61</v>
      </c>
      <c r="C41">
        <v>121.99</v>
      </c>
      <c r="D41">
        <v>115.46</v>
      </c>
      <c r="E41">
        <v>123.21</v>
      </c>
    </row>
    <row r="42" spans="1:5" x14ac:dyDescent="0.2">
      <c r="A42">
        <v>121.58</v>
      </c>
      <c r="C42">
        <v>118.87</v>
      </c>
      <c r="D42">
        <v>119.7</v>
      </c>
      <c r="E42">
        <v>119.31</v>
      </c>
    </row>
    <row r="43" spans="1:5" x14ac:dyDescent="0.2">
      <c r="A43">
        <v>121.58</v>
      </c>
      <c r="C43">
        <v>118.87</v>
      </c>
      <c r="D43">
        <v>119.7</v>
      </c>
      <c r="E43">
        <v>119.31</v>
      </c>
    </row>
    <row r="44" spans="1:5" x14ac:dyDescent="0.2">
      <c r="A44">
        <v>113.69</v>
      </c>
      <c r="C44">
        <v>118.83</v>
      </c>
      <c r="D44">
        <v>124.34</v>
      </c>
      <c r="E44">
        <v>128.6</v>
      </c>
    </row>
    <row r="45" spans="1:5" x14ac:dyDescent="0.2">
      <c r="A45">
        <v>113.69</v>
      </c>
      <c r="C45">
        <v>118.83</v>
      </c>
      <c r="D45">
        <v>124.34</v>
      </c>
      <c r="E45">
        <v>128.6</v>
      </c>
    </row>
    <row r="46" spans="1:5" x14ac:dyDescent="0.2">
      <c r="A46">
        <v>117.49</v>
      </c>
      <c r="C46">
        <v>120.61</v>
      </c>
      <c r="D46">
        <v>121.26</v>
      </c>
      <c r="E46">
        <v>125.49</v>
      </c>
    </row>
    <row r="47" spans="1:5" x14ac:dyDescent="0.2">
      <c r="A47">
        <v>117.49</v>
      </c>
      <c r="C47">
        <v>120.61</v>
      </c>
      <c r="D47">
        <v>121.26</v>
      </c>
      <c r="E47">
        <v>125.49</v>
      </c>
    </row>
    <row r="48" spans="1:5" x14ac:dyDescent="0.2">
      <c r="A48">
        <v>118.2</v>
      </c>
      <c r="C48">
        <v>123.81</v>
      </c>
      <c r="D48">
        <v>118.81</v>
      </c>
      <c r="E48">
        <v>119.93</v>
      </c>
    </row>
    <row r="49" spans="1:5" x14ac:dyDescent="0.2">
      <c r="A49">
        <v>118.2</v>
      </c>
      <c r="C49">
        <v>123.81</v>
      </c>
      <c r="D49">
        <v>122.63</v>
      </c>
      <c r="E49">
        <v>119.93</v>
      </c>
    </row>
    <row r="50" spans="1:5" x14ac:dyDescent="0.2">
      <c r="A50">
        <v>112.45</v>
      </c>
      <c r="C50">
        <v>119.32</v>
      </c>
      <c r="D50">
        <v>122.63</v>
      </c>
      <c r="E50">
        <v>119.38</v>
      </c>
    </row>
    <row r="51" spans="1:5" x14ac:dyDescent="0.2">
      <c r="A51">
        <v>112.45</v>
      </c>
      <c r="C51">
        <v>119.32</v>
      </c>
      <c r="D51">
        <v>124.76</v>
      </c>
      <c r="E51">
        <v>119.38</v>
      </c>
    </row>
    <row r="52" spans="1:5" x14ac:dyDescent="0.2">
      <c r="A52">
        <v>119.09</v>
      </c>
      <c r="C52">
        <v>125.39</v>
      </c>
      <c r="D52">
        <v>124.76</v>
      </c>
      <c r="E52">
        <v>150.91</v>
      </c>
    </row>
    <row r="53" spans="1:5" x14ac:dyDescent="0.2">
      <c r="A53">
        <v>119.09</v>
      </c>
      <c r="C53">
        <v>125.39</v>
      </c>
      <c r="D53">
        <v>122.7</v>
      </c>
      <c r="E53">
        <v>150.91</v>
      </c>
    </row>
    <row r="54" spans="1:5" x14ac:dyDescent="0.2">
      <c r="A54">
        <v>118.65</v>
      </c>
      <c r="C54">
        <v>125.54</v>
      </c>
      <c r="D54">
        <v>122.7</v>
      </c>
      <c r="E54">
        <v>136.96</v>
      </c>
    </row>
    <row r="55" spans="1:5" x14ac:dyDescent="0.2">
      <c r="A55">
        <v>118.65</v>
      </c>
      <c r="C55">
        <v>125.54</v>
      </c>
      <c r="D55">
        <v>120.81</v>
      </c>
      <c r="E55">
        <v>136.96</v>
      </c>
    </row>
    <row r="56" spans="1:5" x14ac:dyDescent="0.2">
      <c r="A56">
        <v>124.24</v>
      </c>
      <c r="C56">
        <v>118.46</v>
      </c>
      <c r="D56">
        <v>120.81</v>
      </c>
      <c r="E56">
        <v>135.35</v>
      </c>
    </row>
    <row r="57" spans="1:5" x14ac:dyDescent="0.2">
      <c r="A57">
        <v>124.24</v>
      </c>
      <c r="C57">
        <v>118.46</v>
      </c>
      <c r="D57">
        <v>115.12</v>
      </c>
      <c r="E57">
        <v>135.35</v>
      </c>
    </row>
    <row r="58" spans="1:5" x14ac:dyDescent="0.2">
      <c r="A58">
        <v>116.7</v>
      </c>
      <c r="C58">
        <v>117.55</v>
      </c>
      <c r="D58">
        <v>115.12</v>
      </c>
      <c r="E58">
        <v>118.8</v>
      </c>
    </row>
    <row r="59" spans="1:5" x14ac:dyDescent="0.2">
      <c r="A59">
        <v>116.7</v>
      </c>
      <c r="C59">
        <v>117.55</v>
      </c>
      <c r="D59">
        <v>118.78</v>
      </c>
      <c r="E59">
        <v>118.8</v>
      </c>
    </row>
    <row r="60" spans="1:5" x14ac:dyDescent="0.2">
      <c r="A60">
        <v>110.85</v>
      </c>
      <c r="C60">
        <v>122.93</v>
      </c>
      <c r="D60">
        <v>118.78</v>
      </c>
      <c r="E60">
        <v>119.56</v>
      </c>
    </row>
    <row r="61" spans="1:5" x14ac:dyDescent="0.2">
      <c r="A61">
        <v>110.85</v>
      </c>
      <c r="C61">
        <v>122.93</v>
      </c>
      <c r="D61">
        <v>120</v>
      </c>
      <c r="E61">
        <v>119.56</v>
      </c>
    </row>
    <row r="62" spans="1:5" x14ac:dyDescent="0.2">
      <c r="A62">
        <v>119.06</v>
      </c>
      <c r="C62">
        <v>120.5</v>
      </c>
      <c r="D62">
        <v>120</v>
      </c>
      <c r="E62">
        <v>133.15</v>
      </c>
    </row>
    <row r="63" spans="1:5" x14ac:dyDescent="0.2">
      <c r="A63">
        <v>119.06</v>
      </c>
      <c r="C63">
        <v>120.5</v>
      </c>
      <c r="D63">
        <v>123.48</v>
      </c>
      <c r="E63">
        <v>133.15</v>
      </c>
    </row>
    <row r="64" spans="1:5" x14ac:dyDescent="0.2">
      <c r="A64">
        <v>135.11000000000001</v>
      </c>
      <c r="C64">
        <v>120.26</v>
      </c>
      <c r="D64">
        <v>123.48</v>
      </c>
      <c r="E64">
        <v>126.3</v>
      </c>
    </row>
    <row r="65" spans="1:5" x14ac:dyDescent="0.2">
      <c r="A65">
        <v>135.11000000000001</v>
      </c>
      <c r="C65">
        <v>120.26</v>
      </c>
      <c r="D65">
        <v>126.48</v>
      </c>
      <c r="E65">
        <v>126.3</v>
      </c>
    </row>
    <row r="66" spans="1:5" x14ac:dyDescent="0.2">
      <c r="A66">
        <v>119.47</v>
      </c>
      <c r="C66">
        <v>123.24</v>
      </c>
      <c r="D66">
        <v>126.48</v>
      </c>
      <c r="E66">
        <v>130.72</v>
      </c>
    </row>
    <row r="67" spans="1:5" x14ac:dyDescent="0.2">
      <c r="A67">
        <v>119.47</v>
      </c>
      <c r="C67">
        <v>123.24</v>
      </c>
      <c r="D67">
        <v>125.1</v>
      </c>
      <c r="E67">
        <v>130.72</v>
      </c>
    </row>
    <row r="68" spans="1:5" x14ac:dyDescent="0.2">
      <c r="A68">
        <v>120.85</v>
      </c>
      <c r="C68">
        <v>121.23</v>
      </c>
      <c r="D68">
        <v>125.1</v>
      </c>
      <c r="E68">
        <v>129.55000000000001</v>
      </c>
    </row>
    <row r="69" spans="1:5" x14ac:dyDescent="0.2">
      <c r="A69">
        <v>120.85</v>
      </c>
      <c r="C69">
        <v>121.23</v>
      </c>
      <c r="D69">
        <v>126.03</v>
      </c>
      <c r="E69">
        <v>129.55000000000001</v>
      </c>
    </row>
    <row r="70" spans="1:5" x14ac:dyDescent="0.2">
      <c r="A70">
        <v>119.27</v>
      </c>
      <c r="C70">
        <v>119.09</v>
      </c>
      <c r="D70">
        <v>126.03</v>
      </c>
      <c r="E70">
        <v>126.18</v>
      </c>
    </row>
    <row r="71" spans="1:5" x14ac:dyDescent="0.2">
      <c r="A71">
        <v>119.27</v>
      </c>
      <c r="C71">
        <v>119.09</v>
      </c>
      <c r="D71">
        <v>122.46</v>
      </c>
      <c r="E71">
        <v>126.18</v>
      </c>
    </row>
    <row r="72" spans="1:5" x14ac:dyDescent="0.2">
      <c r="A72">
        <v>123.22</v>
      </c>
      <c r="C72">
        <v>122.27</v>
      </c>
      <c r="D72">
        <v>122.46</v>
      </c>
      <c r="E72">
        <v>138.33000000000001</v>
      </c>
    </row>
    <row r="73" spans="1:5" x14ac:dyDescent="0.2">
      <c r="A73">
        <v>123.22</v>
      </c>
      <c r="C73">
        <v>122.27</v>
      </c>
      <c r="D73">
        <v>120.2</v>
      </c>
      <c r="E73">
        <v>138.33000000000001</v>
      </c>
    </row>
    <row r="74" spans="1:5" x14ac:dyDescent="0.2">
      <c r="A74">
        <v>123.15</v>
      </c>
      <c r="C74">
        <v>115.66</v>
      </c>
      <c r="D74">
        <v>120.2</v>
      </c>
      <c r="E74">
        <v>137.37</v>
      </c>
    </row>
    <row r="75" spans="1:5" x14ac:dyDescent="0.2">
      <c r="A75">
        <v>123.15</v>
      </c>
      <c r="C75">
        <v>115.66</v>
      </c>
      <c r="D75">
        <v>123.31</v>
      </c>
      <c r="E75">
        <v>137.37</v>
      </c>
    </row>
    <row r="76" spans="1:5" x14ac:dyDescent="0.2">
      <c r="A76">
        <v>118.29</v>
      </c>
      <c r="C76">
        <v>120.37</v>
      </c>
      <c r="D76">
        <v>123.31</v>
      </c>
      <c r="E76">
        <v>121.25</v>
      </c>
    </row>
    <row r="77" spans="1:5" x14ac:dyDescent="0.2">
      <c r="A77">
        <v>118.29</v>
      </c>
      <c r="C77">
        <v>120.37</v>
      </c>
      <c r="D77">
        <v>123.93</v>
      </c>
      <c r="E77">
        <v>121.25</v>
      </c>
    </row>
    <row r="78" spans="1:5" x14ac:dyDescent="0.2">
      <c r="A78">
        <v>112.18</v>
      </c>
      <c r="C78">
        <v>121.62</v>
      </c>
      <c r="D78">
        <v>123.93</v>
      </c>
      <c r="E78">
        <v>120.08</v>
      </c>
    </row>
    <row r="79" spans="1:5" x14ac:dyDescent="0.2">
      <c r="A79">
        <v>112.18</v>
      </c>
      <c r="C79">
        <v>121.62</v>
      </c>
      <c r="D79">
        <v>121.57</v>
      </c>
      <c r="E79">
        <v>120.08</v>
      </c>
    </row>
    <row r="80" spans="1:5" x14ac:dyDescent="0.2">
      <c r="A80">
        <v>120.97</v>
      </c>
      <c r="C80">
        <v>118.86</v>
      </c>
      <c r="D80">
        <v>121.57</v>
      </c>
      <c r="E80">
        <v>123.21</v>
      </c>
    </row>
    <row r="81" spans="1:5" x14ac:dyDescent="0.2">
      <c r="A81">
        <v>120.97</v>
      </c>
      <c r="C81">
        <v>118.86</v>
      </c>
      <c r="D81">
        <v>127.68</v>
      </c>
      <c r="E81">
        <v>123.21</v>
      </c>
    </row>
    <row r="82" spans="1:5" x14ac:dyDescent="0.2">
      <c r="A82">
        <v>116.65</v>
      </c>
      <c r="C82">
        <v>119.71</v>
      </c>
      <c r="D82">
        <v>127.68</v>
      </c>
      <c r="E82">
        <v>129.36000000000001</v>
      </c>
    </row>
    <row r="83" spans="1:5" x14ac:dyDescent="0.2">
      <c r="A83">
        <v>116.65</v>
      </c>
      <c r="C83">
        <v>119.71</v>
      </c>
      <c r="D83">
        <v>129.79</v>
      </c>
      <c r="E83">
        <v>129.36000000000001</v>
      </c>
    </row>
    <row r="84" spans="1:5" x14ac:dyDescent="0.2">
      <c r="A84">
        <v>117.2</v>
      </c>
      <c r="C84">
        <v>130.80000000000001</v>
      </c>
      <c r="D84">
        <v>129.79</v>
      </c>
      <c r="E84">
        <v>129.01</v>
      </c>
    </row>
    <row r="85" spans="1:5" x14ac:dyDescent="0.2">
      <c r="A85">
        <v>117.2</v>
      </c>
      <c r="C85">
        <v>130.80000000000001</v>
      </c>
      <c r="D85">
        <v>123.47</v>
      </c>
      <c r="E85">
        <v>129.01</v>
      </c>
    </row>
    <row r="86" spans="1:5" x14ac:dyDescent="0.2">
      <c r="A86">
        <v>121.33</v>
      </c>
      <c r="C86">
        <v>123.3</v>
      </c>
      <c r="D86">
        <v>123.47</v>
      </c>
      <c r="E86">
        <v>127.33</v>
      </c>
    </row>
    <row r="87" spans="1:5" x14ac:dyDescent="0.2">
      <c r="A87">
        <v>121.33</v>
      </c>
      <c r="C87">
        <v>123.3</v>
      </c>
      <c r="D87">
        <v>122.12</v>
      </c>
      <c r="E87">
        <v>127.33</v>
      </c>
    </row>
    <row r="88" spans="1:5" x14ac:dyDescent="0.2">
      <c r="A88">
        <v>117.54</v>
      </c>
      <c r="C88">
        <v>118.28</v>
      </c>
      <c r="D88">
        <v>122.12</v>
      </c>
      <c r="E88">
        <v>125.41</v>
      </c>
    </row>
    <row r="89" spans="1:5" x14ac:dyDescent="0.2">
      <c r="A89">
        <v>117.54</v>
      </c>
      <c r="C89">
        <v>118.28</v>
      </c>
      <c r="D89">
        <v>119.75</v>
      </c>
      <c r="E89">
        <v>125.41</v>
      </c>
    </row>
    <row r="90" spans="1:5" x14ac:dyDescent="0.2">
      <c r="A90">
        <v>123.18</v>
      </c>
      <c r="C90">
        <v>124.88</v>
      </c>
      <c r="D90">
        <v>119.75</v>
      </c>
      <c r="E90">
        <v>123.14</v>
      </c>
    </row>
    <row r="91" spans="1:5" x14ac:dyDescent="0.2">
      <c r="A91">
        <v>123.18</v>
      </c>
      <c r="C91">
        <v>124.88</v>
      </c>
      <c r="D91">
        <v>120.94</v>
      </c>
      <c r="E91">
        <v>123.14</v>
      </c>
    </row>
    <row r="92" spans="1:5" x14ac:dyDescent="0.2">
      <c r="A92">
        <v>116.29</v>
      </c>
      <c r="C92">
        <v>121.12</v>
      </c>
      <c r="D92">
        <v>120.94</v>
      </c>
      <c r="E92">
        <v>130.27000000000001</v>
      </c>
    </row>
    <row r="93" spans="1:5" x14ac:dyDescent="0.2">
      <c r="A93">
        <v>116.29</v>
      </c>
      <c r="C93">
        <v>121.12</v>
      </c>
      <c r="D93">
        <v>121.13</v>
      </c>
      <c r="E93">
        <v>130.27000000000001</v>
      </c>
    </row>
    <row r="94" spans="1:5" x14ac:dyDescent="0.2">
      <c r="A94">
        <v>111.02</v>
      </c>
      <c r="C94">
        <v>119.36</v>
      </c>
      <c r="D94">
        <v>121.13</v>
      </c>
      <c r="E94">
        <v>126.52</v>
      </c>
    </row>
    <row r="95" spans="1:5" x14ac:dyDescent="0.2">
      <c r="A95">
        <v>111.02</v>
      </c>
      <c r="C95">
        <v>119.36</v>
      </c>
      <c r="D95">
        <v>120.52</v>
      </c>
      <c r="E95">
        <v>126.52</v>
      </c>
    </row>
    <row r="96" spans="1:5" x14ac:dyDescent="0.2">
      <c r="A96">
        <v>112.73</v>
      </c>
      <c r="C96">
        <v>123.32</v>
      </c>
      <c r="D96">
        <v>120.52</v>
      </c>
      <c r="E96">
        <v>122.48</v>
      </c>
    </row>
    <row r="97" spans="1:5" x14ac:dyDescent="0.2">
      <c r="A97">
        <v>112.73</v>
      </c>
      <c r="C97">
        <v>123.32</v>
      </c>
      <c r="D97">
        <v>117.64</v>
      </c>
      <c r="E97">
        <v>124.28</v>
      </c>
    </row>
    <row r="98" spans="1:5" x14ac:dyDescent="0.2">
      <c r="A98">
        <v>119.15</v>
      </c>
      <c r="C98">
        <v>118.31</v>
      </c>
      <c r="D98">
        <v>117.64</v>
      </c>
      <c r="E98">
        <v>124.28</v>
      </c>
    </row>
    <row r="99" spans="1:5" x14ac:dyDescent="0.2">
      <c r="A99">
        <v>119.15</v>
      </c>
      <c r="C99">
        <v>118.31</v>
      </c>
      <c r="D99">
        <v>129.18</v>
      </c>
      <c r="E99">
        <v>126.44</v>
      </c>
    </row>
    <row r="100" spans="1:5" x14ac:dyDescent="0.2">
      <c r="A100">
        <v>111.44</v>
      </c>
      <c r="C100">
        <v>118.84</v>
      </c>
      <c r="D100">
        <v>129.18</v>
      </c>
      <c r="E100">
        <v>126.44</v>
      </c>
    </row>
    <row r="101" spans="1:5" x14ac:dyDescent="0.2">
      <c r="A101">
        <v>111.44</v>
      </c>
      <c r="C101">
        <v>133.59</v>
      </c>
      <c r="D101">
        <v>131.47</v>
      </c>
      <c r="E101">
        <v>132.82</v>
      </c>
    </row>
    <row r="102" spans="1:5" x14ac:dyDescent="0.2">
      <c r="A102">
        <v>129.79</v>
      </c>
      <c r="C102">
        <v>133.59</v>
      </c>
      <c r="D102">
        <v>131.47</v>
      </c>
      <c r="E102">
        <v>132.82</v>
      </c>
    </row>
    <row r="103" spans="1:5" x14ac:dyDescent="0.2">
      <c r="A103">
        <v>117.94</v>
      </c>
      <c r="C103">
        <v>122.42</v>
      </c>
      <c r="D103">
        <v>120.45</v>
      </c>
      <c r="E103">
        <v>131.82</v>
      </c>
    </row>
    <row r="104" spans="1:5" x14ac:dyDescent="0.2">
      <c r="A104">
        <v>117.94</v>
      </c>
      <c r="C104">
        <v>122.42</v>
      </c>
      <c r="D104">
        <v>120.45</v>
      </c>
      <c r="E104">
        <v>131.82</v>
      </c>
    </row>
    <row r="105" spans="1:5" x14ac:dyDescent="0.2">
      <c r="A105">
        <v>121.52</v>
      </c>
      <c r="C105">
        <v>115.61</v>
      </c>
      <c r="D105">
        <v>120.28</v>
      </c>
      <c r="E105">
        <v>126.15</v>
      </c>
    </row>
    <row r="106" spans="1:5" x14ac:dyDescent="0.2">
      <c r="A106">
        <v>121.52</v>
      </c>
      <c r="C106">
        <v>115.61</v>
      </c>
      <c r="D106">
        <v>120.28</v>
      </c>
      <c r="E106">
        <v>126.15</v>
      </c>
    </row>
    <row r="107" spans="1:5" x14ac:dyDescent="0.2">
      <c r="A107">
        <v>135.63999999999999</v>
      </c>
      <c r="C107">
        <v>121.21</v>
      </c>
      <c r="D107">
        <v>119.52</v>
      </c>
      <c r="E107">
        <v>121.93</v>
      </c>
    </row>
    <row r="108" spans="1:5" x14ac:dyDescent="0.2">
      <c r="A108">
        <v>135.63999999999999</v>
      </c>
      <c r="C108">
        <v>121.21</v>
      </c>
      <c r="D108">
        <v>119.52</v>
      </c>
      <c r="E108">
        <v>121.93</v>
      </c>
    </row>
    <row r="109" spans="1:5" x14ac:dyDescent="0.2">
      <c r="A109">
        <v>124.32</v>
      </c>
      <c r="C109">
        <v>118.72</v>
      </c>
      <c r="D109">
        <v>118.43</v>
      </c>
      <c r="E109">
        <v>134.09</v>
      </c>
    </row>
    <row r="110" spans="1:5" x14ac:dyDescent="0.2">
      <c r="A110">
        <v>124.32</v>
      </c>
      <c r="C110">
        <v>118.72</v>
      </c>
      <c r="D110">
        <v>118.43</v>
      </c>
      <c r="E110">
        <v>134.09</v>
      </c>
    </row>
    <row r="111" spans="1:5" x14ac:dyDescent="0.2">
      <c r="A111">
        <v>129.37</v>
      </c>
      <c r="C111">
        <v>118.5</v>
      </c>
      <c r="D111">
        <v>121.73</v>
      </c>
      <c r="E111">
        <v>132.47999999999999</v>
      </c>
    </row>
    <row r="112" spans="1:5" x14ac:dyDescent="0.2">
      <c r="A112">
        <v>129.37</v>
      </c>
      <c r="C112">
        <v>118.5</v>
      </c>
      <c r="D112">
        <v>121.73</v>
      </c>
      <c r="E112">
        <v>132.47999999999999</v>
      </c>
    </row>
    <row r="113" spans="1:5" x14ac:dyDescent="0.2">
      <c r="A113">
        <v>117.99</v>
      </c>
      <c r="C113">
        <v>122.93</v>
      </c>
      <c r="D113">
        <v>122.14</v>
      </c>
      <c r="E113">
        <v>128.43</v>
      </c>
    </row>
    <row r="114" spans="1:5" x14ac:dyDescent="0.2">
      <c r="A114">
        <v>117.99</v>
      </c>
      <c r="C114">
        <v>122.93</v>
      </c>
      <c r="D114">
        <v>122.14</v>
      </c>
      <c r="E114">
        <v>128.43</v>
      </c>
    </row>
    <row r="115" spans="1:5" x14ac:dyDescent="0.2">
      <c r="A115">
        <v>109.7</v>
      </c>
      <c r="C115">
        <v>127.67</v>
      </c>
      <c r="D115">
        <v>121.38</v>
      </c>
      <c r="E115">
        <v>120.82</v>
      </c>
    </row>
    <row r="116" spans="1:5" x14ac:dyDescent="0.2">
      <c r="A116">
        <v>109.7</v>
      </c>
      <c r="C116">
        <v>127.67</v>
      </c>
      <c r="D116">
        <v>121.38</v>
      </c>
      <c r="E116">
        <v>120.82</v>
      </c>
    </row>
    <row r="117" spans="1:5" x14ac:dyDescent="0.2">
      <c r="A117">
        <v>119.46</v>
      </c>
      <c r="C117">
        <v>119.65</v>
      </c>
      <c r="D117">
        <v>131.22999999999999</v>
      </c>
      <c r="E117">
        <v>129.76</v>
      </c>
    </row>
    <row r="118" spans="1:5" x14ac:dyDescent="0.2">
      <c r="A118">
        <v>119.46</v>
      </c>
      <c r="C118">
        <v>119.65</v>
      </c>
      <c r="D118">
        <v>131.22999999999999</v>
      </c>
      <c r="E118">
        <v>129.76</v>
      </c>
    </row>
    <row r="119" spans="1:5" x14ac:dyDescent="0.2">
      <c r="A119">
        <v>120</v>
      </c>
      <c r="C119">
        <v>121.2</v>
      </c>
      <c r="D119">
        <v>118.8</v>
      </c>
      <c r="E119">
        <v>133.68</v>
      </c>
    </row>
    <row r="120" spans="1:5" x14ac:dyDescent="0.2">
      <c r="A120">
        <v>120</v>
      </c>
      <c r="C120">
        <v>121.2</v>
      </c>
      <c r="D120">
        <v>118.8</v>
      </c>
      <c r="E120">
        <v>133.68</v>
      </c>
    </row>
    <row r="121" spans="1:5" x14ac:dyDescent="0.2">
      <c r="A121">
        <v>116.24</v>
      </c>
      <c r="C121">
        <v>122.91</v>
      </c>
      <c r="D121">
        <v>117.01</v>
      </c>
      <c r="E121">
        <v>124.76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CABF2-7BA6-D142-8AAB-08CE2758927B}">
  <dimension ref="A1:J121"/>
  <sheetViews>
    <sheetView workbookViewId="0">
      <selection activeCell="A2" sqref="A2"/>
    </sheetView>
  </sheetViews>
  <sheetFormatPr baseColWidth="10" defaultRowHeight="16" x14ac:dyDescent="0.2"/>
  <cols>
    <col min="1" max="1" width="16.5" bestFit="1" customWidth="1"/>
    <col min="9" max="9" width="14.1640625" bestFit="1" customWidth="1"/>
    <col min="10" max="10" width="16" bestFit="1" customWidth="1"/>
  </cols>
  <sheetData>
    <row r="1" spans="1:10" x14ac:dyDescent="0.2">
      <c r="A1" t="s">
        <v>32</v>
      </c>
      <c r="B1" t="s">
        <v>28</v>
      </c>
      <c r="C1" t="s">
        <v>11</v>
      </c>
      <c r="D1" t="s">
        <v>26</v>
      </c>
      <c r="E1" s="1" t="s">
        <v>9</v>
      </c>
      <c r="F1" t="s">
        <v>0</v>
      </c>
      <c r="G1" t="s">
        <v>8</v>
      </c>
      <c r="H1" t="s">
        <v>14</v>
      </c>
      <c r="I1" t="s">
        <v>24</v>
      </c>
      <c r="J1" t="s">
        <v>23</v>
      </c>
    </row>
    <row r="2" spans="1:10" x14ac:dyDescent="0.2">
      <c r="A2">
        <v>129.77000000000001</v>
      </c>
      <c r="B2" t="s">
        <v>17</v>
      </c>
      <c r="C2" t="s">
        <v>17</v>
      </c>
      <c r="D2">
        <v>261.76</v>
      </c>
      <c r="E2" t="s">
        <v>17</v>
      </c>
      <c r="F2" t="s">
        <v>1</v>
      </c>
      <c r="G2">
        <f>AVERAGE(A:A)</f>
        <v>132.64224999999999</v>
      </c>
      <c r="H2">
        <v>28</v>
      </c>
      <c r="I2">
        <f t="shared" ref="I2:I5" si="0">G2-H2</f>
        <v>104.64224999999999</v>
      </c>
      <c r="J2">
        <f>13+I2</f>
        <v>117.64224999999999</v>
      </c>
    </row>
    <row r="3" spans="1:10" x14ac:dyDescent="0.2">
      <c r="A3">
        <v>129.41</v>
      </c>
      <c r="D3">
        <v>268.27999999999997</v>
      </c>
      <c r="F3" t="s">
        <v>3</v>
      </c>
      <c r="G3" t="s">
        <v>17</v>
      </c>
      <c r="H3" t="s">
        <v>17</v>
      </c>
      <c r="I3" t="s">
        <v>17</v>
      </c>
      <c r="J3" t="s">
        <v>17</v>
      </c>
    </row>
    <row r="4" spans="1:10" x14ac:dyDescent="0.2">
      <c r="A4">
        <v>129.41</v>
      </c>
      <c r="D4">
        <v>268.27999999999997</v>
      </c>
      <c r="F4" t="s">
        <v>2</v>
      </c>
      <c r="G4" t="s">
        <v>17</v>
      </c>
      <c r="H4" t="s">
        <v>17</v>
      </c>
      <c r="I4" t="s">
        <v>17</v>
      </c>
      <c r="J4" t="s">
        <v>17</v>
      </c>
    </row>
    <row r="5" spans="1:10" x14ac:dyDescent="0.2">
      <c r="A5">
        <v>129.41</v>
      </c>
      <c r="D5">
        <v>269.83</v>
      </c>
      <c r="F5" t="s">
        <v>4</v>
      </c>
      <c r="G5">
        <f>AVERAGE(D:D)</f>
        <v>268.12266666666676</v>
      </c>
      <c r="H5">
        <f>AVERAGE(134,151)</f>
        <v>142.5</v>
      </c>
      <c r="I5">
        <f t="shared" si="0"/>
        <v>125.62266666666676</v>
      </c>
      <c r="J5">
        <f>13+I5</f>
        <v>138.62266666666676</v>
      </c>
    </row>
    <row r="6" spans="1:10" x14ac:dyDescent="0.2">
      <c r="A6">
        <v>146</v>
      </c>
      <c r="D6">
        <v>269.83</v>
      </c>
      <c r="F6" t="s">
        <v>5</v>
      </c>
      <c r="G6" t="s">
        <v>17</v>
      </c>
      <c r="H6" t="s">
        <v>17</v>
      </c>
      <c r="I6" t="s">
        <v>17</v>
      </c>
      <c r="J6" t="s">
        <v>17</v>
      </c>
    </row>
    <row r="7" spans="1:10" x14ac:dyDescent="0.2">
      <c r="A7">
        <v>130.44999999999999</v>
      </c>
      <c r="D7">
        <v>270.45</v>
      </c>
    </row>
    <row r="8" spans="1:10" x14ac:dyDescent="0.2">
      <c r="A8">
        <v>130.44999999999999</v>
      </c>
      <c r="D8">
        <v>270.45</v>
      </c>
    </row>
    <row r="9" spans="1:10" x14ac:dyDescent="0.2">
      <c r="A9">
        <v>128.41999999999999</v>
      </c>
      <c r="D9">
        <v>273.93</v>
      </c>
    </row>
    <row r="10" spans="1:10" x14ac:dyDescent="0.2">
      <c r="A10">
        <v>128.41999999999999</v>
      </c>
      <c r="D10">
        <v>273.93</v>
      </c>
    </row>
    <row r="11" spans="1:10" x14ac:dyDescent="0.2">
      <c r="A11">
        <v>134.88999999999999</v>
      </c>
      <c r="D11">
        <v>268.87</v>
      </c>
    </row>
    <row r="12" spans="1:10" x14ac:dyDescent="0.2">
      <c r="A12">
        <v>134.88999999999999</v>
      </c>
      <c r="D12">
        <v>268.87</v>
      </c>
    </row>
    <row r="13" spans="1:10" x14ac:dyDescent="0.2">
      <c r="A13">
        <v>129.68</v>
      </c>
      <c r="D13">
        <v>264.17</v>
      </c>
    </row>
    <row r="14" spans="1:10" x14ac:dyDescent="0.2">
      <c r="A14">
        <v>129.68</v>
      </c>
      <c r="D14">
        <v>264.17</v>
      </c>
    </row>
    <row r="15" spans="1:10" x14ac:dyDescent="0.2">
      <c r="A15">
        <v>128.38</v>
      </c>
      <c r="D15">
        <v>279.95999999999998</v>
      </c>
    </row>
    <row r="16" spans="1:10" x14ac:dyDescent="0.2">
      <c r="A16">
        <v>128.38</v>
      </c>
      <c r="D16">
        <v>279.95999999999998</v>
      </c>
    </row>
    <row r="17" spans="1:4" x14ac:dyDescent="0.2">
      <c r="A17">
        <v>140.57</v>
      </c>
      <c r="D17">
        <v>275.45999999999998</v>
      </c>
    </row>
    <row r="18" spans="1:4" x14ac:dyDescent="0.2">
      <c r="A18">
        <v>140.57</v>
      </c>
      <c r="D18">
        <v>275.45999999999998</v>
      </c>
    </row>
    <row r="19" spans="1:4" x14ac:dyDescent="0.2">
      <c r="A19">
        <v>129.72999999999999</v>
      </c>
      <c r="D19">
        <v>286</v>
      </c>
    </row>
    <row r="20" spans="1:4" x14ac:dyDescent="0.2">
      <c r="A20">
        <v>129.72999999999999</v>
      </c>
      <c r="D20">
        <v>286</v>
      </c>
    </row>
    <row r="21" spans="1:4" x14ac:dyDescent="0.2">
      <c r="A21">
        <v>132.19999999999999</v>
      </c>
      <c r="D21">
        <v>261.02999999999997</v>
      </c>
    </row>
    <row r="22" spans="1:4" x14ac:dyDescent="0.2">
      <c r="A22">
        <v>132.19999999999999</v>
      </c>
      <c r="D22">
        <v>261.02999999999997</v>
      </c>
    </row>
    <row r="23" spans="1:4" x14ac:dyDescent="0.2">
      <c r="A23">
        <v>133.13999999999999</v>
      </c>
      <c r="D23">
        <v>270.93</v>
      </c>
    </row>
    <row r="24" spans="1:4" x14ac:dyDescent="0.2">
      <c r="A24">
        <v>133.13999999999999</v>
      </c>
      <c r="D24">
        <v>270.93</v>
      </c>
    </row>
    <row r="25" spans="1:4" x14ac:dyDescent="0.2">
      <c r="A25">
        <v>127.48</v>
      </c>
      <c r="D25">
        <v>269.10000000000002</v>
      </c>
    </row>
    <row r="26" spans="1:4" x14ac:dyDescent="0.2">
      <c r="A26">
        <v>127.48</v>
      </c>
      <c r="D26">
        <v>269.10000000000002</v>
      </c>
    </row>
    <row r="27" spans="1:4" x14ac:dyDescent="0.2">
      <c r="A27">
        <v>128.18</v>
      </c>
      <c r="D27">
        <v>284.7</v>
      </c>
    </row>
    <row r="28" spans="1:4" x14ac:dyDescent="0.2">
      <c r="A28">
        <v>128.18</v>
      </c>
      <c r="D28">
        <v>284.7</v>
      </c>
    </row>
    <row r="29" spans="1:4" x14ac:dyDescent="0.2">
      <c r="A29">
        <v>134.19</v>
      </c>
      <c r="D29">
        <v>266.92</v>
      </c>
    </row>
    <row r="30" spans="1:4" x14ac:dyDescent="0.2">
      <c r="A30">
        <v>134.19</v>
      </c>
      <c r="D30">
        <v>266.92</v>
      </c>
    </row>
    <row r="31" spans="1:4" x14ac:dyDescent="0.2">
      <c r="A31">
        <v>138.30000000000001</v>
      </c>
      <c r="D31">
        <v>269.77</v>
      </c>
    </row>
    <row r="32" spans="1:4" x14ac:dyDescent="0.2">
      <c r="A32">
        <v>138.30000000000001</v>
      </c>
      <c r="D32">
        <v>269.77</v>
      </c>
    </row>
    <row r="33" spans="1:4" x14ac:dyDescent="0.2">
      <c r="A33">
        <v>129.19999999999999</v>
      </c>
      <c r="D33">
        <v>259.76</v>
      </c>
    </row>
    <row r="34" spans="1:4" x14ac:dyDescent="0.2">
      <c r="A34">
        <v>129.19999999999999</v>
      </c>
      <c r="D34">
        <v>259.76</v>
      </c>
    </row>
    <row r="35" spans="1:4" x14ac:dyDescent="0.2">
      <c r="A35">
        <v>133.81</v>
      </c>
      <c r="D35">
        <v>275.98</v>
      </c>
    </row>
    <row r="36" spans="1:4" x14ac:dyDescent="0.2">
      <c r="A36">
        <v>133.81</v>
      </c>
      <c r="D36">
        <v>275.98</v>
      </c>
    </row>
    <row r="37" spans="1:4" x14ac:dyDescent="0.2">
      <c r="A37">
        <v>140.38999999999999</v>
      </c>
      <c r="D37">
        <v>269.2</v>
      </c>
    </row>
    <row r="38" spans="1:4" x14ac:dyDescent="0.2">
      <c r="A38">
        <v>140.38999999999999</v>
      </c>
      <c r="D38">
        <v>269.2</v>
      </c>
    </row>
    <row r="39" spans="1:4" x14ac:dyDescent="0.2">
      <c r="A39">
        <v>130.29</v>
      </c>
      <c r="D39">
        <v>271.94</v>
      </c>
    </row>
    <row r="40" spans="1:4" x14ac:dyDescent="0.2">
      <c r="A40">
        <v>130.29</v>
      </c>
      <c r="D40">
        <v>271.94</v>
      </c>
    </row>
    <row r="41" spans="1:4" x14ac:dyDescent="0.2">
      <c r="A41">
        <v>133.27000000000001</v>
      </c>
      <c r="D41">
        <v>267.36</v>
      </c>
    </row>
    <row r="42" spans="1:4" x14ac:dyDescent="0.2">
      <c r="A42">
        <v>133.27000000000001</v>
      </c>
      <c r="D42">
        <v>267.36</v>
      </c>
    </row>
    <row r="43" spans="1:4" x14ac:dyDescent="0.2">
      <c r="A43">
        <v>134.51</v>
      </c>
      <c r="D43">
        <v>275.33</v>
      </c>
    </row>
    <row r="44" spans="1:4" x14ac:dyDescent="0.2">
      <c r="A44">
        <v>134.51</v>
      </c>
      <c r="D44">
        <v>275.33</v>
      </c>
    </row>
    <row r="45" spans="1:4" x14ac:dyDescent="0.2">
      <c r="A45">
        <v>129.29</v>
      </c>
      <c r="D45">
        <v>264.76</v>
      </c>
    </row>
    <row r="46" spans="1:4" x14ac:dyDescent="0.2">
      <c r="A46">
        <v>129.29</v>
      </c>
      <c r="D46">
        <v>264.76</v>
      </c>
    </row>
    <row r="47" spans="1:4" x14ac:dyDescent="0.2">
      <c r="A47">
        <v>129.68</v>
      </c>
      <c r="D47">
        <v>267.2</v>
      </c>
    </row>
    <row r="48" spans="1:4" x14ac:dyDescent="0.2">
      <c r="A48">
        <v>129.68</v>
      </c>
      <c r="D48">
        <v>267.2</v>
      </c>
    </row>
    <row r="49" spans="1:4" x14ac:dyDescent="0.2">
      <c r="A49">
        <v>133.61000000000001</v>
      </c>
      <c r="D49">
        <v>256.3</v>
      </c>
    </row>
    <row r="50" spans="1:4" x14ac:dyDescent="0.2">
      <c r="A50">
        <v>133.61000000000001</v>
      </c>
      <c r="D50">
        <v>256.3</v>
      </c>
    </row>
    <row r="51" spans="1:4" x14ac:dyDescent="0.2">
      <c r="A51">
        <v>129.15</v>
      </c>
      <c r="D51">
        <v>258.05</v>
      </c>
    </row>
    <row r="52" spans="1:4" x14ac:dyDescent="0.2">
      <c r="A52">
        <v>129.15</v>
      </c>
      <c r="D52">
        <v>258.05</v>
      </c>
    </row>
    <row r="53" spans="1:4" x14ac:dyDescent="0.2">
      <c r="A53">
        <v>136.93</v>
      </c>
      <c r="D53">
        <v>267.47000000000003</v>
      </c>
    </row>
    <row r="54" spans="1:4" x14ac:dyDescent="0.2">
      <c r="A54">
        <v>136.93</v>
      </c>
      <c r="D54">
        <v>267.47000000000003</v>
      </c>
    </row>
    <row r="55" spans="1:4" x14ac:dyDescent="0.2">
      <c r="A55">
        <v>138.76</v>
      </c>
      <c r="D55">
        <v>274.69</v>
      </c>
    </row>
    <row r="56" spans="1:4" x14ac:dyDescent="0.2">
      <c r="A56">
        <v>138.76</v>
      </c>
      <c r="D56">
        <v>274.69</v>
      </c>
    </row>
    <row r="57" spans="1:4" x14ac:dyDescent="0.2">
      <c r="A57">
        <v>128.81</v>
      </c>
      <c r="D57">
        <v>272.61</v>
      </c>
    </row>
    <row r="58" spans="1:4" x14ac:dyDescent="0.2">
      <c r="A58">
        <v>128.81</v>
      </c>
      <c r="D58">
        <v>272.61</v>
      </c>
    </row>
    <row r="59" spans="1:4" x14ac:dyDescent="0.2">
      <c r="A59">
        <v>128.79</v>
      </c>
      <c r="D59">
        <v>274.42</v>
      </c>
    </row>
    <row r="60" spans="1:4" x14ac:dyDescent="0.2">
      <c r="A60">
        <v>128.79</v>
      </c>
      <c r="D60">
        <v>274.42</v>
      </c>
    </row>
    <row r="61" spans="1:4" x14ac:dyDescent="0.2">
      <c r="A61">
        <v>134.69</v>
      </c>
      <c r="D61">
        <v>261.17</v>
      </c>
    </row>
    <row r="62" spans="1:4" x14ac:dyDescent="0.2">
      <c r="A62">
        <v>134.69</v>
      </c>
      <c r="D62">
        <v>261.17</v>
      </c>
    </row>
    <row r="63" spans="1:4" x14ac:dyDescent="0.2">
      <c r="A63">
        <v>129.25</v>
      </c>
      <c r="D63">
        <v>267.26</v>
      </c>
    </row>
    <row r="64" spans="1:4" x14ac:dyDescent="0.2">
      <c r="A64">
        <v>129.25</v>
      </c>
      <c r="D64">
        <v>267.26</v>
      </c>
    </row>
    <row r="65" spans="1:4" x14ac:dyDescent="0.2">
      <c r="A65">
        <v>129.38</v>
      </c>
      <c r="D65">
        <v>269.22000000000003</v>
      </c>
    </row>
    <row r="66" spans="1:4" x14ac:dyDescent="0.2">
      <c r="A66">
        <v>129.38</v>
      </c>
      <c r="D66">
        <v>269.22000000000003</v>
      </c>
    </row>
    <row r="67" spans="1:4" x14ac:dyDescent="0.2">
      <c r="A67">
        <v>141.91999999999999</v>
      </c>
      <c r="D67">
        <v>268.08999999999997</v>
      </c>
    </row>
    <row r="68" spans="1:4" x14ac:dyDescent="0.2">
      <c r="A68">
        <v>141.91999999999999</v>
      </c>
      <c r="D68">
        <v>268.08999999999997</v>
      </c>
    </row>
    <row r="69" spans="1:4" x14ac:dyDescent="0.2">
      <c r="A69">
        <v>133.28</v>
      </c>
      <c r="D69">
        <v>261.99</v>
      </c>
    </row>
    <row r="70" spans="1:4" x14ac:dyDescent="0.2">
      <c r="A70">
        <v>133.28</v>
      </c>
      <c r="D70">
        <v>261.99</v>
      </c>
    </row>
    <row r="71" spans="1:4" x14ac:dyDescent="0.2">
      <c r="A71">
        <v>129.65</v>
      </c>
      <c r="D71">
        <v>277.83999999999997</v>
      </c>
    </row>
    <row r="72" spans="1:4" x14ac:dyDescent="0.2">
      <c r="A72">
        <v>129.65</v>
      </c>
      <c r="D72">
        <v>277.83999999999997</v>
      </c>
    </row>
    <row r="73" spans="1:4" x14ac:dyDescent="0.2">
      <c r="A73">
        <v>136.93</v>
      </c>
      <c r="D73">
        <v>259.86</v>
      </c>
    </row>
    <row r="74" spans="1:4" x14ac:dyDescent="0.2">
      <c r="A74">
        <v>136.93</v>
      </c>
      <c r="D74">
        <v>259.86</v>
      </c>
    </row>
    <row r="75" spans="1:4" x14ac:dyDescent="0.2">
      <c r="A75">
        <v>127.79</v>
      </c>
      <c r="D75">
        <v>265.16000000000003</v>
      </c>
    </row>
    <row r="76" spans="1:4" x14ac:dyDescent="0.2">
      <c r="A76">
        <v>127.79</v>
      </c>
      <c r="D76">
        <v>265.16000000000003</v>
      </c>
    </row>
    <row r="77" spans="1:4" x14ac:dyDescent="0.2">
      <c r="A77">
        <v>128.38</v>
      </c>
      <c r="D77">
        <v>269.11</v>
      </c>
    </row>
    <row r="78" spans="1:4" x14ac:dyDescent="0.2">
      <c r="A78">
        <v>128.38</v>
      </c>
      <c r="D78">
        <v>269.11</v>
      </c>
    </row>
    <row r="79" spans="1:4" x14ac:dyDescent="0.2">
      <c r="A79">
        <v>132.91</v>
      </c>
      <c r="D79">
        <v>278.60000000000002</v>
      </c>
    </row>
    <row r="80" spans="1:4" x14ac:dyDescent="0.2">
      <c r="A80">
        <v>132.91</v>
      </c>
      <c r="D80">
        <v>278.60000000000002</v>
      </c>
    </row>
    <row r="81" spans="1:4" x14ac:dyDescent="0.2">
      <c r="A81">
        <v>129.9</v>
      </c>
      <c r="D81">
        <v>266.47000000000003</v>
      </c>
    </row>
    <row r="82" spans="1:4" x14ac:dyDescent="0.2">
      <c r="A82">
        <v>129.9</v>
      </c>
      <c r="D82">
        <v>266.47000000000003</v>
      </c>
    </row>
    <row r="83" spans="1:4" x14ac:dyDescent="0.2">
      <c r="A83">
        <v>129.71</v>
      </c>
      <c r="D83">
        <v>273.77</v>
      </c>
    </row>
    <row r="84" spans="1:4" x14ac:dyDescent="0.2">
      <c r="A84">
        <v>129.71</v>
      </c>
      <c r="D84">
        <v>273.77</v>
      </c>
    </row>
    <row r="85" spans="1:4" x14ac:dyDescent="0.2">
      <c r="A85">
        <v>144.88</v>
      </c>
      <c r="D85">
        <v>267.39</v>
      </c>
    </row>
    <row r="86" spans="1:4" x14ac:dyDescent="0.2">
      <c r="A86">
        <v>144.88</v>
      </c>
      <c r="D86">
        <v>267.39</v>
      </c>
    </row>
    <row r="87" spans="1:4" x14ac:dyDescent="0.2">
      <c r="A87">
        <v>132.91</v>
      </c>
      <c r="D87">
        <v>267.8</v>
      </c>
    </row>
    <row r="88" spans="1:4" x14ac:dyDescent="0.2">
      <c r="A88">
        <v>132.91</v>
      </c>
      <c r="D88">
        <v>267.8</v>
      </c>
    </row>
    <row r="89" spans="1:4" x14ac:dyDescent="0.2">
      <c r="A89">
        <v>131.22999999999999</v>
      </c>
      <c r="D89">
        <v>270.29000000000002</v>
      </c>
    </row>
    <row r="90" spans="1:4" x14ac:dyDescent="0.2">
      <c r="A90">
        <v>131.22999999999999</v>
      </c>
      <c r="D90">
        <v>270.29000000000002</v>
      </c>
    </row>
    <row r="91" spans="1:4" x14ac:dyDescent="0.2">
      <c r="A91">
        <v>130.91</v>
      </c>
      <c r="D91">
        <v>274.82</v>
      </c>
    </row>
    <row r="92" spans="1:4" x14ac:dyDescent="0.2">
      <c r="A92">
        <v>130.91</v>
      </c>
      <c r="D92">
        <v>274.82</v>
      </c>
    </row>
    <row r="93" spans="1:4" x14ac:dyDescent="0.2">
      <c r="A93">
        <v>130.13999999999999</v>
      </c>
      <c r="D93">
        <v>260.55</v>
      </c>
    </row>
    <row r="94" spans="1:4" x14ac:dyDescent="0.2">
      <c r="A94">
        <v>130.13999999999999</v>
      </c>
      <c r="D94">
        <v>260.55</v>
      </c>
    </row>
    <row r="95" spans="1:4" x14ac:dyDescent="0.2">
      <c r="A95">
        <v>129.57</v>
      </c>
      <c r="D95">
        <v>261.8</v>
      </c>
    </row>
    <row r="96" spans="1:4" x14ac:dyDescent="0.2">
      <c r="A96">
        <v>129.57</v>
      </c>
      <c r="D96">
        <v>261.8</v>
      </c>
    </row>
    <row r="97" spans="1:4" x14ac:dyDescent="0.2">
      <c r="A97">
        <v>133.51</v>
      </c>
      <c r="D97">
        <v>262.36</v>
      </c>
    </row>
    <row r="98" spans="1:4" x14ac:dyDescent="0.2">
      <c r="A98">
        <v>133.51</v>
      </c>
      <c r="D98">
        <v>262.36</v>
      </c>
    </row>
    <row r="99" spans="1:4" x14ac:dyDescent="0.2">
      <c r="A99">
        <v>130.9</v>
      </c>
      <c r="D99">
        <v>265</v>
      </c>
    </row>
    <row r="100" spans="1:4" x14ac:dyDescent="0.2">
      <c r="A100">
        <v>130.9</v>
      </c>
      <c r="D100">
        <v>265</v>
      </c>
    </row>
    <row r="101" spans="1:4" x14ac:dyDescent="0.2">
      <c r="A101">
        <v>134.29</v>
      </c>
      <c r="D101">
        <v>263.5</v>
      </c>
    </row>
    <row r="102" spans="1:4" x14ac:dyDescent="0.2">
      <c r="A102">
        <v>134.29</v>
      </c>
      <c r="D102">
        <v>263.5</v>
      </c>
    </row>
    <row r="103" spans="1:4" x14ac:dyDescent="0.2">
      <c r="A103">
        <v>137.72999999999999</v>
      </c>
      <c r="D103">
        <v>261.92</v>
      </c>
    </row>
    <row r="104" spans="1:4" x14ac:dyDescent="0.2">
      <c r="A104">
        <v>137.72999999999999</v>
      </c>
      <c r="D104">
        <v>261.92</v>
      </c>
    </row>
    <row r="105" spans="1:4" x14ac:dyDescent="0.2">
      <c r="A105">
        <v>138.59</v>
      </c>
      <c r="D105">
        <v>263.95</v>
      </c>
    </row>
    <row r="106" spans="1:4" x14ac:dyDescent="0.2">
      <c r="A106">
        <v>138.59</v>
      </c>
      <c r="D106">
        <v>263.95</v>
      </c>
    </row>
    <row r="107" spans="1:4" x14ac:dyDescent="0.2">
      <c r="A107">
        <v>129.43</v>
      </c>
      <c r="D107">
        <v>263.41000000000003</v>
      </c>
    </row>
    <row r="108" spans="1:4" x14ac:dyDescent="0.2">
      <c r="A108">
        <v>129.43</v>
      </c>
      <c r="D108">
        <v>263.41000000000003</v>
      </c>
    </row>
    <row r="109" spans="1:4" x14ac:dyDescent="0.2">
      <c r="A109">
        <v>132.93</v>
      </c>
      <c r="D109">
        <v>272.7</v>
      </c>
    </row>
    <row r="110" spans="1:4" x14ac:dyDescent="0.2">
      <c r="A110">
        <v>132.93</v>
      </c>
      <c r="D110">
        <v>272.7</v>
      </c>
    </row>
    <row r="111" spans="1:4" x14ac:dyDescent="0.2">
      <c r="A111">
        <v>130.11000000000001</v>
      </c>
      <c r="D111">
        <v>251.53</v>
      </c>
    </row>
    <row r="112" spans="1:4" x14ac:dyDescent="0.2">
      <c r="A112">
        <v>130.11000000000001</v>
      </c>
      <c r="D112">
        <v>251.53</v>
      </c>
    </row>
    <row r="113" spans="1:4" x14ac:dyDescent="0.2">
      <c r="A113">
        <v>129.07</v>
      </c>
      <c r="D113">
        <v>257.95</v>
      </c>
    </row>
    <row r="114" spans="1:4" x14ac:dyDescent="0.2">
      <c r="A114">
        <v>129.07</v>
      </c>
      <c r="D114">
        <v>257.95</v>
      </c>
    </row>
    <row r="115" spans="1:4" x14ac:dyDescent="0.2">
      <c r="A115">
        <v>133.08000000000001</v>
      </c>
      <c r="D115">
        <v>262.39999999999998</v>
      </c>
    </row>
    <row r="116" spans="1:4" x14ac:dyDescent="0.2">
      <c r="A116">
        <v>133.08000000000001</v>
      </c>
      <c r="D116">
        <v>262.39999999999998</v>
      </c>
    </row>
    <row r="117" spans="1:4" x14ac:dyDescent="0.2">
      <c r="A117">
        <v>138.78</v>
      </c>
      <c r="D117">
        <v>273.14</v>
      </c>
    </row>
    <row r="118" spans="1:4" x14ac:dyDescent="0.2">
      <c r="A118">
        <v>138.78</v>
      </c>
      <c r="D118">
        <v>273.14</v>
      </c>
    </row>
    <row r="119" spans="1:4" x14ac:dyDescent="0.2">
      <c r="A119">
        <v>134.03</v>
      </c>
      <c r="D119">
        <v>269.83</v>
      </c>
    </row>
    <row r="120" spans="1:4" x14ac:dyDescent="0.2">
      <c r="A120">
        <v>134.03</v>
      </c>
      <c r="D120">
        <v>269.83</v>
      </c>
    </row>
    <row r="121" spans="1:4" x14ac:dyDescent="0.2">
      <c r="A121">
        <v>137.11000000000001</v>
      </c>
      <c r="D121">
        <v>266.26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943C2-B3A7-2841-B8FC-2C459DF251A2}">
  <dimension ref="A1:J121"/>
  <sheetViews>
    <sheetView workbookViewId="0">
      <selection activeCell="A2" sqref="A2"/>
    </sheetView>
  </sheetViews>
  <sheetFormatPr baseColWidth="10" defaultRowHeight="16" x14ac:dyDescent="0.2"/>
  <cols>
    <col min="1" max="1" width="16.5" bestFit="1" customWidth="1"/>
    <col min="9" max="9" width="14.1640625" bestFit="1" customWidth="1"/>
    <col min="10" max="10" width="16" bestFit="1" customWidth="1"/>
  </cols>
  <sheetData>
    <row r="1" spans="1:10" x14ac:dyDescent="0.2">
      <c r="A1" t="s">
        <v>32</v>
      </c>
      <c r="B1" t="s">
        <v>28</v>
      </c>
      <c r="C1" t="s">
        <v>11</v>
      </c>
      <c r="D1" t="s">
        <v>6</v>
      </c>
      <c r="E1" s="1" t="s">
        <v>9</v>
      </c>
      <c r="F1" t="s">
        <v>0</v>
      </c>
      <c r="G1" t="s">
        <v>8</v>
      </c>
      <c r="H1" t="s">
        <v>14</v>
      </c>
      <c r="I1" t="s">
        <v>24</v>
      </c>
      <c r="J1" t="s">
        <v>23</v>
      </c>
    </row>
    <row r="2" spans="1:10" x14ac:dyDescent="0.2">
      <c r="A2">
        <v>140.03</v>
      </c>
      <c r="B2" t="s">
        <v>17</v>
      </c>
      <c r="C2" t="s">
        <v>17</v>
      </c>
      <c r="D2">
        <v>142.25</v>
      </c>
      <c r="E2" t="s">
        <v>17</v>
      </c>
      <c r="F2" t="s">
        <v>1</v>
      </c>
      <c r="G2">
        <f>AVERAGE(A:A)</f>
        <v>143.42866666666671</v>
      </c>
      <c r="H2">
        <v>37</v>
      </c>
      <c r="I2">
        <f t="shared" ref="I2:I5" si="0">G2-H2</f>
        <v>106.42866666666671</v>
      </c>
      <c r="J2">
        <f>13+I2</f>
        <v>119.42866666666671</v>
      </c>
    </row>
    <row r="3" spans="1:10" x14ac:dyDescent="0.2">
      <c r="A3">
        <v>140.66</v>
      </c>
      <c r="D3">
        <v>142.25</v>
      </c>
      <c r="F3" t="s">
        <v>3</v>
      </c>
      <c r="G3" t="s">
        <v>17</v>
      </c>
      <c r="H3" t="s">
        <v>17</v>
      </c>
      <c r="I3" t="s">
        <v>17</v>
      </c>
      <c r="J3" t="s">
        <v>17</v>
      </c>
    </row>
    <row r="4" spans="1:10" x14ac:dyDescent="0.2">
      <c r="A4">
        <v>140.66</v>
      </c>
      <c r="D4">
        <v>141.55000000000001</v>
      </c>
      <c r="F4" t="s">
        <v>2</v>
      </c>
      <c r="G4" t="s">
        <v>17</v>
      </c>
      <c r="H4" t="s">
        <v>17</v>
      </c>
      <c r="I4" t="s">
        <v>17</v>
      </c>
      <c r="J4" t="s">
        <v>17</v>
      </c>
    </row>
    <row r="5" spans="1:10" x14ac:dyDescent="0.2">
      <c r="A5">
        <v>144.62</v>
      </c>
      <c r="D5">
        <v>141.55000000000001</v>
      </c>
      <c r="F5" t="s">
        <v>4</v>
      </c>
      <c r="G5">
        <f>AVERAGE(D:D)</f>
        <v>142.91766666666661</v>
      </c>
      <c r="H5">
        <f>AVERAGE(36,37)</f>
        <v>36.5</v>
      </c>
      <c r="I5">
        <f t="shared" si="0"/>
        <v>106.41766666666661</v>
      </c>
      <c r="J5">
        <f>13+I5</f>
        <v>119.41766666666661</v>
      </c>
    </row>
    <row r="6" spans="1:10" x14ac:dyDescent="0.2">
      <c r="A6">
        <v>144.62</v>
      </c>
      <c r="D6">
        <v>142.4</v>
      </c>
      <c r="F6" t="s">
        <v>5</v>
      </c>
      <c r="G6" t="s">
        <v>17</v>
      </c>
      <c r="H6" t="s">
        <v>17</v>
      </c>
      <c r="I6" t="s">
        <v>17</v>
      </c>
      <c r="J6" t="s">
        <v>17</v>
      </c>
    </row>
    <row r="7" spans="1:10" x14ac:dyDescent="0.2">
      <c r="A7">
        <v>141.26</v>
      </c>
      <c r="D7">
        <v>142.4</v>
      </c>
    </row>
    <row r="8" spans="1:10" x14ac:dyDescent="0.2">
      <c r="A8">
        <v>141.26</v>
      </c>
      <c r="D8">
        <v>139.94999999999999</v>
      </c>
    </row>
    <row r="9" spans="1:10" x14ac:dyDescent="0.2">
      <c r="A9">
        <v>139.96</v>
      </c>
      <c r="D9">
        <v>139.94999999999999</v>
      </c>
    </row>
    <row r="10" spans="1:10" x14ac:dyDescent="0.2">
      <c r="A10">
        <v>139.96</v>
      </c>
      <c r="D10">
        <v>140.82</v>
      </c>
    </row>
    <row r="11" spans="1:10" x14ac:dyDescent="0.2">
      <c r="A11">
        <v>147.38999999999999</v>
      </c>
      <c r="D11">
        <v>140.82</v>
      </c>
    </row>
    <row r="12" spans="1:10" x14ac:dyDescent="0.2">
      <c r="A12">
        <v>147.38999999999999</v>
      </c>
      <c r="D12">
        <v>143.83000000000001</v>
      </c>
    </row>
    <row r="13" spans="1:10" x14ac:dyDescent="0.2">
      <c r="A13">
        <v>149.96</v>
      </c>
      <c r="D13">
        <v>143.83000000000001</v>
      </c>
    </row>
    <row r="14" spans="1:10" x14ac:dyDescent="0.2">
      <c r="A14">
        <v>149.96</v>
      </c>
      <c r="D14">
        <v>139.44</v>
      </c>
    </row>
    <row r="15" spans="1:10" x14ac:dyDescent="0.2">
      <c r="A15">
        <v>141.78</v>
      </c>
      <c r="D15">
        <v>139.44</v>
      </c>
    </row>
    <row r="16" spans="1:10" x14ac:dyDescent="0.2">
      <c r="A16">
        <v>141.78</v>
      </c>
      <c r="D16">
        <v>146.65</v>
      </c>
    </row>
    <row r="17" spans="1:4" x14ac:dyDescent="0.2">
      <c r="A17">
        <v>144.31</v>
      </c>
      <c r="D17">
        <v>146.65</v>
      </c>
    </row>
    <row r="18" spans="1:4" x14ac:dyDescent="0.2">
      <c r="A18">
        <v>144.31</v>
      </c>
      <c r="D18">
        <v>140.97</v>
      </c>
    </row>
    <row r="19" spans="1:4" x14ac:dyDescent="0.2">
      <c r="A19">
        <v>138.93</v>
      </c>
      <c r="D19">
        <v>140.97</v>
      </c>
    </row>
    <row r="20" spans="1:4" x14ac:dyDescent="0.2">
      <c r="A20">
        <v>138.93</v>
      </c>
      <c r="D20">
        <v>141.19</v>
      </c>
    </row>
    <row r="21" spans="1:4" x14ac:dyDescent="0.2">
      <c r="A21">
        <v>138.51</v>
      </c>
      <c r="D21">
        <v>141.19</v>
      </c>
    </row>
    <row r="22" spans="1:4" x14ac:dyDescent="0.2">
      <c r="A22">
        <v>138.51</v>
      </c>
      <c r="D22">
        <v>142.69</v>
      </c>
    </row>
    <row r="23" spans="1:4" x14ac:dyDescent="0.2">
      <c r="A23">
        <v>141.5</v>
      </c>
      <c r="D23">
        <v>142.69</v>
      </c>
    </row>
    <row r="24" spans="1:4" x14ac:dyDescent="0.2">
      <c r="A24">
        <v>141.5</v>
      </c>
      <c r="D24">
        <v>140.5</v>
      </c>
    </row>
    <row r="25" spans="1:4" x14ac:dyDescent="0.2">
      <c r="A25">
        <v>142.16999999999999</v>
      </c>
      <c r="D25">
        <v>140.5</v>
      </c>
    </row>
    <row r="26" spans="1:4" x14ac:dyDescent="0.2">
      <c r="A26">
        <v>142.16999999999999</v>
      </c>
      <c r="D26">
        <v>141.82</v>
      </c>
    </row>
    <row r="27" spans="1:4" x14ac:dyDescent="0.2">
      <c r="A27">
        <v>139.85</v>
      </c>
      <c r="D27">
        <v>141.82</v>
      </c>
    </row>
    <row r="28" spans="1:4" x14ac:dyDescent="0.2">
      <c r="A28">
        <v>139.85</v>
      </c>
      <c r="D28">
        <v>140.26</v>
      </c>
    </row>
    <row r="29" spans="1:4" x14ac:dyDescent="0.2">
      <c r="A29">
        <v>148.65</v>
      </c>
      <c r="D29">
        <v>140.26</v>
      </c>
    </row>
    <row r="30" spans="1:4" x14ac:dyDescent="0.2">
      <c r="A30">
        <v>148.65</v>
      </c>
      <c r="D30">
        <v>144.57</v>
      </c>
    </row>
    <row r="31" spans="1:4" x14ac:dyDescent="0.2">
      <c r="A31">
        <v>148.53</v>
      </c>
      <c r="D31">
        <v>144.57</v>
      </c>
    </row>
    <row r="32" spans="1:4" x14ac:dyDescent="0.2">
      <c r="A32">
        <v>148.53</v>
      </c>
      <c r="D32">
        <v>149.82</v>
      </c>
    </row>
    <row r="33" spans="1:4" x14ac:dyDescent="0.2">
      <c r="A33">
        <v>138.41</v>
      </c>
      <c r="D33">
        <v>149.82</v>
      </c>
    </row>
    <row r="34" spans="1:4" x14ac:dyDescent="0.2">
      <c r="A34">
        <v>138.41</v>
      </c>
      <c r="D34">
        <v>146.72</v>
      </c>
    </row>
    <row r="35" spans="1:4" x14ac:dyDescent="0.2">
      <c r="A35">
        <v>139.63</v>
      </c>
      <c r="D35">
        <v>146.72</v>
      </c>
    </row>
    <row r="36" spans="1:4" x14ac:dyDescent="0.2">
      <c r="A36">
        <v>139.63</v>
      </c>
      <c r="D36">
        <v>143.11000000000001</v>
      </c>
    </row>
    <row r="37" spans="1:4" x14ac:dyDescent="0.2">
      <c r="A37">
        <v>141.52000000000001</v>
      </c>
      <c r="D37">
        <v>143.11000000000001</v>
      </c>
    </row>
    <row r="38" spans="1:4" x14ac:dyDescent="0.2">
      <c r="A38">
        <v>141.52000000000001</v>
      </c>
      <c r="D38">
        <v>142.61000000000001</v>
      </c>
    </row>
    <row r="39" spans="1:4" x14ac:dyDescent="0.2">
      <c r="A39">
        <v>138.65</v>
      </c>
      <c r="D39">
        <v>142.61000000000001</v>
      </c>
    </row>
    <row r="40" spans="1:4" x14ac:dyDescent="0.2">
      <c r="A40">
        <v>138.65</v>
      </c>
      <c r="D40">
        <v>140.65</v>
      </c>
    </row>
    <row r="41" spans="1:4" x14ac:dyDescent="0.2">
      <c r="A41">
        <v>141.62</v>
      </c>
      <c r="D41">
        <v>141.49</v>
      </c>
    </row>
    <row r="42" spans="1:4" x14ac:dyDescent="0.2">
      <c r="A42">
        <v>141.62</v>
      </c>
      <c r="D42">
        <v>141.49</v>
      </c>
    </row>
    <row r="43" spans="1:4" x14ac:dyDescent="0.2">
      <c r="A43">
        <v>142.75</v>
      </c>
      <c r="D43">
        <v>141.49</v>
      </c>
    </row>
    <row r="44" spans="1:4" x14ac:dyDescent="0.2">
      <c r="A44">
        <v>142.75</v>
      </c>
      <c r="D44">
        <v>144.07</v>
      </c>
    </row>
    <row r="45" spans="1:4" x14ac:dyDescent="0.2">
      <c r="A45">
        <v>142.66</v>
      </c>
      <c r="D45">
        <v>142.83000000000001</v>
      </c>
    </row>
    <row r="46" spans="1:4" x14ac:dyDescent="0.2">
      <c r="A46">
        <v>142.66</v>
      </c>
      <c r="D46">
        <v>142.83000000000001</v>
      </c>
    </row>
    <row r="47" spans="1:4" x14ac:dyDescent="0.2">
      <c r="A47">
        <v>141.47999999999999</v>
      </c>
      <c r="D47">
        <v>144.99</v>
      </c>
    </row>
    <row r="48" spans="1:4" x14ac:dyDescent="0.2">
      <c r="A48">
        <v>141.47999999999999</v>
      </c>
      <c r="D48">
        <v>144.99</v>
      </c>
    </row>
    <row r="49" spans="1:4" x14ac:dyDescent="0.2">
      <c r="A49">
        <v>146.06</v>
      </c>
      <c r="D49">
        <v>149.53</v>
      </c>
    </row>
    <row r="50" spans="1:4" x14ac:dyDescent="0.2">
      <c r="A50">
        <v>146.06</v>
      </c>
      <c r="D50">
        <v>149.53</v>
      </c>
    </row>
    <row r="51" spans="1:4" x14ac:dyDescent="0.2">
      <c r="A51">
        <v>139.69</v>
      </c>
      <c r="D51">
        <v>138.77000000000001</v>
      </c>
    </row>
    <row r="52" spans="1:4" x14ac:dyDescent="0.2">
      <c r="A52">
        <v>139.69</v>
      </c>
      <c r="D52">
        <v>138.77000000000001</v>
      </c>
    </row>
    <row r="53" spans="1:4" x14ac:dyDescent="0.2">
      <c r="A53">
        <v>140.77000000000001</v>
      </c>
      <c r="D53">
        <v>151.85</v>
      </c>
    </row>
    <row r="54" spans="1:4" x14ac:dyDescent="0.2">
      <c r="A54">
        <v>140.77000000000001</v>
      </c>
      <c r="D54">
        <v>151.85</v>
      </c>
    </row>
    <row r="55" spans="1:4" x14ac:dyDescent="0.2">
      <c r="A55">
        <v>143.83000000000001</v>
      </c>
      <c r="D55">
        <v>144.66</v>
      </c>
    </row>
    <row r="56" spans="1:4" x14ac:dyDescent="0.2">
      <c r="A56">
        <v>143.83000000000001</v>
      </c>
      <c r="D56">
        <v>144.66</v>
      </c>
    </row>
    <row r="57" spans="1:4" x14ac:dyDescent="0.2">
      <c r="A57">
        <v>139.11000000000001</v>
      </c>
      <c r="D57">
        <v>140.71</v>
      </c>
    </row>
    <row r="58" spans="1:4" x14ac:dyDescent="0.2">
      <c r="A58">
        <v>139.11000000000001</v>
      </c>
      <c r="D58">
        <v>140.71</v>
      </c>
    </row>
    <row r="59" spans="1:4" x14ac:dyDescent="0.2">
      <c r="A59">
        <v>141.36000000000001</v>
      </c>
      <c r="D59">
        <v>140.22</v>
      </c>
    </row>
    <row r="60" spans="1:4" x14ac:dyDescent="0.2">
      <c r="A60">
        <v>141.36000000000001</v>
      </c>
      <c r="D60">
        <v>140.22</v>
      </c>
    </row>
    <row r="61" spans="1:4" x14ac:dyDescent="0.2">
      <c r="A61">
        <v>151.71</v>
      </c>
      <c r="D61">
        <v>143.13</v>
      </c>
    </row>
    <row r="62" spans="1:4" x14ac:dyDescent="0.2">
      <c r="A62">
        <v>151.71</v>
      </c>
      <c r="D62">
        <v>143.13</v>
      </c>
    </row>
    <row r="63" spans="1:4" x14ac:dyDescent="0.2">
      <c r="A63">
        <v>144.55000000000001</v>
      </c>
      <c r="D63">
        <v>143.88</v>
      </c>
    </row>
    <row r="64" spans="1:4" x14ac:dyDescent="0.2">
      <c r="A64">
        <v>144.55000000000001</v>
      </c>
      <c r="D64">
        <v>143.88</v>
      </c>
    </row>
    <row r="65" spans="1:4" x14ac:dyDescent="0.2">
      <c r="A65">
        <v>141.68</v>
      </c>
      <c r="D65">
        <v>144.27000000000001</v>
      </c>
    </row>
    <row r="66" spans="1:4" x14ac:dyDescent="0.2">
      <c r="A66">
        <v>141.68</v>
      </c>
      <c r="D66">
        <v>144.27000000000001</v>
      </c>
    </row>
    <row r="67" spans="1:4" x14ac:dyDescent="0.2">
      <c r="A67">
        <v>143.35</v>
      </c>
      <c r="D67">
        <v>147.97</v>
      </c>
    </row>
    <row r="68" spans="1:4" x14ac:dyDescent="0.2">
      <c r="A68">
        <v>143.35</v>
      </c>
      <c r="D68">
        <v>147.97</v>
      </c>
    </row>
    <row r="69" spans="1:4" x14ac:dyDescent="0.2">
      <c r="A69">
        <v>140.28</v>
      </c>
      <c r="D69">
        <v>140.25</v>
      </c>
    </row>
    <row r="70" spans="1:4" x14ac:dyDescent="0.2">
      <c r="A70">
        <v>140.28</v>
      </c>
      <c r="D70">
        <v>140.25</v>
      </c>
    </row>
    <row r="71" spans="1:4" x14ac:dyDescent="0.2">
      <c r="A71">
        <v>139.76</v>
      </c>
      <c r="D71">
        <v>140.30000000000001</v>
      </c>
    </row>
    <row r="72" spans="1:4" x14ac:dyDescent="0.2">
      <c r="A72">
        <v>139.76</v>
      </c>
      <c r="D72">
        <v>140.30000000000001</v>
      </c>
    </row>
    <row r="73" spans="1:4" x14ac:dyDescent="0.2">
      <c r="A73">
        <v>144.59</v>
      </c>
      <c r="D73">
        <v>144.52000000000001</v>
      </c>
    </row>
    <row r="74" spans="1:4" x14ac:dyDescent="0.2">
      <c r="A74">
        <v>144.59</v>
      </c>
      <c r="D74">
        <v>144.52000000000001</v>
      </c>
    </row>
    <row r="75" spans="1:4" x14ac:dyDescent="0.2">
      <c r="A75">
        <v>139.5</v>
      </c>
      <c r="D75">
        <v>141.01</v>
      </c>
    </row>
    <row r="76" spans="1:4" x14ac:dyDescent="0.2">
      <c r="A76">
        <v>139.5</v>
      </c>
      <c r="D76">
        <v>141.01</v>
      </c>
    </row>
    <row r="77" spans="1:4" x14ac:dyDescent="0.2">
      <c r="A77">
        <v>140.68</v>
      </c>
      <c r="D77">
        <v>141.19</v>
      </c>
    </row>
    <row r="78" spans="1:4" x14ac:dyDescent="0.2">
      <c r="A78">
        <v>140.68</v>
      </c>
      <c r="D78">
        <v>141.19</v>
      </c>
    </row>
    <row r="79" spans="1:4" x14ac:dyDescent="0.2">
      <c r="A79">
        <v>143.62</v>
      </c>
      <c r="D79">
        <v>142.91</v>
      </c>
    </row>
    <row r="80" spans="1:4" x14ac:dyDescent="0.2">
      <c r="A80">
        <v>143.62</v>
      </c>
      <c r="D80">
        <v>142.91</v>
      </c>
    </row>
    <row r="81" spans="1:4" x14ac:dyDescent="0.2">
      <c r="A81">
        <v>146.63999999999999</v>
      </c>
      <c r="D81">
        <v>140.03</v>
      </c>
    </row>
    <row r="82" spans="1:4" x14ac:dyDescent="0.2">
      <c r="A82">
        <v>146.63999999999999</v>
      </c>
      <c r="D82">
        <v>140.03</v>
      </c>
    </row>
    <row r="83" spans="1:4" x14ac:dyDescent="0.2">
      <c r="A83">
        <v>139.79</v>
      </c>
      <c r="D83">
        <v>142.34</v>
      </c>
    </row>
    <row r="84" spans="1:4" x14ac:dyDescent="0.2">
      <c r="A84">
        <v>139.79</v>
      </c>
      <c r="D84">
        <v>142.34</v>
      </c>
    </row>
    <row r="85" spans="1:4" x14ac:dyDescent="0.2">
      <c r="A85">
        <v>144.19</v>
      </c>
      <c r="D85">
        <v>149.77000000000001</v>
      </c>
    </row>
    <row r="86" spans="1:4" x14ac:dyDescent="0.2">
      <c r="A86">
        <v>144.19</v>
      </c>
      <c r="D86">
        <v>149.77000000000001</v>
      </c>
    </row>
    <row r="87" spans="1:4" x14ac:dyDescent="0.2">
      <c r="A87">
        <v>140.07</v>
      </c>
      <c r="D87">
        <v>142.83000000000001</v>
      </c>
    </row>
    <row r="88" spans="1:4" x14ac:dyDescent="0.2">
      <c r="A88">
        <v>140.07</v>
      </c>
      <c r="D88">
        <v>142.83000000000001</v>
      </c>
    </row>
    <row r="89" spans="1:4" x14ac:dyDescent="0.2">
      <c r="A89">
        <v>141.76</v>
      </c>
      <c r="D89">
        <v>141.05000000000001</v>
      </c>
    </row>
    <row r="90" spans="1:4" x14ac:dyDescent="0.2">
      <c r="A90">
        <v>141.76</v>
      </c>
      <c r="D90">
        <v>141.05000000000001</v>
      </c>
    </row>
    <row r="91" spans="1:4" x14ac:dyDescent="0.2">
      <c r="A91">
        <v>139.65</v>
      </c>
      <c r="D91">
        <v>140.24</v>
      </c>
    </row>
    <row r="92" spans="1:4" x14ac:dyDescent="0.2">
      <c r="A92">
        <v>139.65</v>
      </c>
      <c r="D92">
        <v>140.24</v>
      </c>
    </row>
    <row r="93" spans="1:4" x14ac:dyDescent="0.2">
      <c r="A93">
        <v>147.97</v>
      </c>
      <c r="D93">
        <v>141.54</v>
      </c>
    </row>
    <row r="94" spans="1:4" x14ac:dyDescent="0.2">
      <c r="A94">
        <v>147.97</v>
      </c>
      <c r="D94">
        <v>141.54</v>
      </c>
    </row>
    <row r="95" spans="1:4" x14ac:dyDescent="0.2">
      <c r="A95">
        <v>142.47999999999999</v>
      </c>
      <c r="D95">
        <v>138.44</v>
      </c>
    </row>
    <row r="96" spans="1:4" x14ac:dyDescent="0.2">
      <c r="A96">
        <v>142.47999999999999</v>
      </c>
      <c r="D96">
        <v>138.44</v>
      </c>
    </row>
    <row r="97" spans="1:4" x14ac:dyDescent="0.2">
      <c r="A97">
        <v>168.76</v>
      </c>
      <c r="D97">
        <v>144.97</v>
      </c>
    </row>
    <row r="98" spans="1:4" x14ac:dyDescent="0.2">
      <c r="A98">
        <v>168.76</v>
      </c>
      <c r="D98">
        <v>144.97</v>
      </c>
    </row>
    <row r="99" spans="1:4" x14ac:dyDescent="0.2">
      <c r="A99">
        <v>146.41</v>
      </c>
      <c r="D99">
        <v>149.75</v>
      </c>
    </row>
    <row r="100" spans="1:4" x14ac:dyDescent="0.2">
      <c r="A100">
        <v>146.41</v>
      </c>
      <c r="D100">
        <v>149.75</v>
      </c>
    </row>
    <row r="101" spans="1:4" x14ac:dyDescent="0.2">
      <c r="A101">
        <v>140.22999999999999</v>
      </c>
      <c r="D101">
        <v>143.80000000000001</v>
      </c>
    </row>
    <row r="102" spans="1:4" x14ac:dyDescent="0.2">
      <c r="A102">
        <v>140.22999999999999</v>
      </c>
      <c r="D102">
        <v>143.80000000000001</v>
      </c>
    </row>
    <row r="103" spans="1:4" x14ac:dyDescent="0.2">
      <c r="A103">
        <v>139.25</v>
      </c>
      <c r="D103">
        <v>140.51</v>
      </c>
    </row>
    <row r="104" spans="1:4" x14ac:dyDescent="0.2">
      <c r="A104">
        <v>139.25</v>
      </c>
      <c r="D104">
        <v>140.51</v>
      </c>
    </row>
    <row r="105" spans="1:4" x14ac:dyDescent="0.2">
      <c r="A105">
        <v>144.97999999999999</v>
      </c>
      <c r="D105">
        <v>144.06</v>
      </c>
    </row>
    <row r="106" spans="1:4" x14ac:dyDescent="0.2">
      <c r="A106">
        <v>144.97999999999999</v>
      </c>
      <c r="D106">
        <v>144.06</v>
      </c>
    </row>
    <row r="107" spans="1:4" x14ac:dyDescent="0.2">
      <c r="A107">
        <v>141.38999999999999</v>
      </c>
      <c r="D107">
        <v>139.33000000000001</v>
      </c>
    </row>
    <row r="108" spans="1:4" x14ac:dyDescent="0.2">
      <c r="A108">
        <v>141.38999999999999</v>
      </c>
      <c r="D108">
        <v>139.33000000000001</v>
      </c>
    </row>
    <row r="109" spans="1:4" x14ac:dyDescent="0.2">
      <c r="A109">
        <v>143.79</v>
      </c>
      <c r="D109">
        <v>138.97999999999999</v>
      </c>
    </row>
    <row r="110" spans="1:4" x14ac:dyDescent="0.2">
      <c r="A110">
        <v>143.79</v>
      </c>
      <c r="D110">
        <v>138.97999999999999</v>
      </c>
    </row>
    <row r="111" spans="1:4" x14ac:dyDescent="0.2">
      <c r="A111">
        <v>151.16999999999999</v>
      </c>
      <c r="D111">
        <v>143.53</v>
      </c>
    </row>
    <row r="112" spans="1:4" x14ac:dyDescent="0.2">
      <c r="A112">
        <v>151.16999999999999</v>
      </c>
      <c r="D112">
        <v>143.53</v>
      </c>
    </row>
    <row r="113" spans="1:4" x14ac:dyDescent="0.2">
      <c r="A113">
        <v>141.35</v>
      </c>
      <c r="D113">
        <v>139.06</v>
      </c>
    </row>
    <row r="114" spans="1:4" x14ac:dyDescent="0.2">
      <c r="A114">
        <v>141.35</v>
      </c>
      <c r="D114">
        <v>139.06</v>
      </c>
    </row>
    <row r="115" spans="1:4" x14ac:dyDescent="0.2">
      <c r="A115">
        <v>159.81</v>
      </c>
      <c r="D115">
        <v>141.63999999999999</v>
      </c>
    </row>
    <row r="116" spans="1:4" x14ac:dyDescent="0.2">
      <c r="A116">
        <v>159.81</v>
      </c>
      <c r="D116">
        <v>141.63999999999999</v>
      </c>
    </row>
    <row r="117" spans="1:4" x14ac:dyDescent="0.2">
      <c r="A117">
        <v>149.97</v>
      </c>
      <c r="D117">
        <v>148.37</v>
      </c>
    </row>
    <row r="118" spans="1:4" x14ac:dyDescent="0.2">
      <c r="A118">
        <v>149.97</v>
      </c>
      <c r="D118">
        <v>148.37</v>
      </c>
    </row>
    <row r="119" spans="1:4" x14ac:dyDescent="0.2">
      <c r="A119">
        <v>141.33000000000001</v>
      </c>
      <c r="D119">
        <v>146.02000000000001</v>
      </c>
    </row>
    <row r="120" spans="1:4" x14ac:dyDescent="0.2">
      <c r="A120">
        <v>141.33000000000001</v>
      </c>
      <c r="D120">
        <v>146.02000000000001</v>
      </c>
    </row>
    <row r="121" spans="1:4" x14ac:dyDescent="0.2">
      <c r="A121">
        <v>138.75</v>
      </c>
      <c r="D121">
        <v>140.13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62BDD-F3A0-9242-881B-FDC519614EE9}">
  <dimension ref="A1:I121"/>
  <sheetViews>
    <sheetView zoomScale="140" workbookViewId="0">
      <selection activeCell="A2" sqref="A2"/>
    </sheetView>
  </sheetViews>
  <sheetFormatPr baseColWidth="10" defaultRowHeight="16" x14ac:dyDescent="0.2"/>
  <sheetData>
    <row r="1" spans="1:9" x14ac:dyDescent="0.2">
      <c r="A1" t="s">
        <v>13</v>
      </c>
      <c r="B1" t="s">
        <v>12</v>
      </c>
      <c r="C1" t="s">
        <v>11</v>
      </c>
      <c r="D1" t="s">
        <v>26</v>
      </c>
      <c r="E1" t="s">
        <v>9</v>
      </c>
      <c r="F1" t="s">
        <v>0</v>
      </c>
      <c r="G1" t="s">
        <v>8</v>
      </c>
      <c r="H1" t="s">
        <v>14</v>
      </c>
      <c r="I1" t="s">
        <v>16</v>
      </c>
    </row>
    <row r="2" spans="1:9" x14ac:dyDescent="0.2">
      <c r="A2">
        <v>106.81</v>
      </c>
      <c r="B2" t="s">
        <v>17</v>
      </c>
      <c r="C2">
        <v>111.17</v>
      </c>
      <c r="D2">
        <v>109.89</v>
      </c>
      <c r="E2">
        <v>114.71</v>
      </c>
      <c r="F2" t="s">
        <v>1</v>
      </c>
      <c r="G2">
        <f>AVERAGE(A:A)</f>
        <v>109.08733333333329</v>
      </c>
      <c r="H2">
        <f>AVERAGE(15,16)</f>
        <v>15.5</v>
      </c>
      <c r="I2">
        <f t="shared" ref="I2:I6" si="0">G2-H2</f>
        <v>93.587333333333291</v>
      </c>
    </row>
    <row r="3" spans="1:9" x14ac:dyDescent="0.2">
      <c r="A3">
        <v>106.81</v>
      </c>
      <c r="C3">
        <v>112.41</v>
      </c>
      <c r="D3">
        <v>109.89</v>
      </c>
      <c r="E3">
        <v>114.71</v>
      </c>
      <c r="F3" t="s">
        <v>3</v>
      </c>
      <c r="G3" t="s">
        <v>17</v>
      </c>
      <c r="H3" t="s">
        <v>17</v>
      </c>
      <c r="I3" t="s">
        <v>17</v>
      </c>
    </row>
    <row r="4" spans="1:9" x14ac:dyDescent="0.2">
      <c r="A4">
        <v>104.72</v>
      </c>
      <c r="C4">
        <v>112.41</v>
      </c>
      <c r="D4">
        <v>109.32</v>
      </c>
      <c r="E4">
        <v>108.78</v>
      </c>
      <c r="F4" t="s">
        <v>2</v>
      </c>
      <c r="G4">
        <f>AVERAGE(C:C)</f>
        <v>108.97291666666668</v>
      </c>
      <c r="H4">
        <f>AVERAGE(15,16)</f>
        <v>15.5</v>
      </c>
      <c r="I4">
        <f t="shared" si="0"/>
        <v>93.472916666666677</v>
      </c>
    </row>
    <row r="5" spans="1:9" x14ac:dyDescent="0.2">
      <c r="A5">
        <v>104.72</v>
      </c>
      <c r="C5">
        <v>104.49</v>
      </c>
      <c r="D5">
        <v>109.32</v>
      </c>
      <c r="E5">
        <v>108.78</v>
      </c>
      <c r="F5" t="s">
        <v>4</v>
      </c>
      <c r="G5">
        <f>AVERAGE(D:D)</f>
        <v>109.85383333333336</v>
      </c>
      <c r="H5">
        <v>16</v>
      </c>
      <c r="I5">
        <f t="shared" si="0"/>
        <v>93.853833333333355</v>
      </c>
    </row>
    <row r="6" spans="1:9" x14ac:dyDescent="0.2">
      <c r="A6">
        <v>112.92</v>
      </c>
      <c r="C6">
        <v>104.49</v>
      </c>
      <c r="D6">
        <v>108.16</v>
      </c>
      <c r="E6">
        <v>110.13</v>
      </c>
      <c r="F6" t="s">
        <v>5</v>
      </c>
      <c r="G6">
        <f>AVERAGE(E:E)</f>
        <v>111.7956666666667</v>
      </c>
      <c r="H6">
        <f>AVERAGE(16,17)</f>
        <v>16.5</v>
      </c>
      <c r="I6">
        <f t="shared" si="0"/>
        <v>95.295666666666705</v>
      </c>
    </row>
    <row r="7" spans="1:9" x14ac:dyDescent="0.2">
      <c r="A7">
        <v>112.92</v>
      </c>
      <c r="C7">
        <v>106.87</v>
      </c>
      <c r="D7">
        <v>108.16</v>
      </c>
      <c r="E7">
        <v>110.13</v>
      </c>
    </row>
    <row r="8" spans="1:9" x14ac:dyDescent="0.2">
      <c r="A8">
        <v>110.46</v>
      </c>
      <c r="C8">
        <v>106.87</v>
      </c>
      <c r="D8">
        <v>106.5</v>
      </c>
      <c r="E8">
        <v>107.23</v>
      </c>
    </row>
    <row r="9" spans="1:9" x14ac:dyDescent="0.2">
      <c r="A9">
        <v>110.46</v>
      </c>
      <c r="C9">
        <v>106.94</v>
      </c>
      <c r="D9">
        <v>106.5</v>
      </c>
      <c r="E9">
        <v>107.23</v>
      </c>
    </row>
    <row r="10" spans="1:9" x14ac:dyDescent="0.2">
      <c r="A10">
        <v>104.15</v>
      </c>
      <c r="C10">
        <v>106.94</v>
      </c>
      <c r="D10">
        <v>106.43</v>
      </c>
      <c r="E10">
        <v>111.08</v>
      </c>
    </row>
    <row r="11" spans="1:9" x14ac:dyDescent="0.2">
      <c r="A11">
        <v>104.15</v>
      </c>
      <c r="C11">
        <v>104.56</v>
      </c>
      <c r="D11">
        <v>106.43</v>
      </c>
      <c r="E11">
        <v>111.08</v>
      </c>
    </row>
    <row r="12" spans="1:9" x14ac:dyDescent="0.2">
      <c r="A12">
        <v>107.46</v>
      </c>
      <c r="C12">
        <v>104.56</v>
      </c>
      <c r="D12">
        <v>126.29</v>
      </c>
      <c r="E12">
        <v>113.31</v>
      </c>
    </row>
    <row r="13" spans="1:9" x14ac:dyDescent="0.2">
      <c r="A13">
        <v>107.46</v>
      </c>
      <c r="C13">
        <v>110.09</v>
      </c>
      <c r="D13">
        <v>126.29</v>
      </c>
      <c r="E13">
        <v>113.31</v>
      </c>
    </row>
    <row r="14" spans="1:9" x14ac:dyDescent="0.2">
      <c r="A14">
        <v>108.36</v>
      </c>
      <c r="C14">
        <v>110.09</v>
      </c>
      <c r="D14">
        <v>110.87</v>
      </c>
      <c r="E14">
        <v>117.47</v>
      </c>
    </row>
    <row r="15" spans="1:9" x14ac:dyDescent="0.2">
      <c r="A15">
        <v>108.36</v>
      </c>
      <c r="C15">
        <v>115.03</v>
      </c>
      <c r="D15">
        <v>110.87</v>
      </c>
      <c r="E15">
        <v>117.47</v>
      </c>
    </row>
    <row r="16" spans="1:9" x14ac:dyDescent="0.2">
      <c r="A16">
        <v>106.39</v>
      </c>
      <c r="C16">
        <v>115.03</v>
      </c>
      <c r="D16">
        <v>105.99</v>
      </c>
      <c r="E16">
        <v>114.86</v>
      </c>
    </row>
    <row r="17" spans="1:5" x14ac:dyDescent="0.2">
      <c r="A17">
        <v>106.39</v>
      </c>
      <c r="C17">
        <v>112.86</v>
      </c>
      <c r="D17">
        <v>105.99</v>
      </c>
      <c r="E17">
        <v>114.86</v>
      </c>
    </row>
    <row r="18" spans="1:5" x14ac:dyDescent="0.2">
      <c r="A18">
        <v>110.39</v>
      </c>
      <c r="C18">
        <v>112.86</v>
      </c>
      <c r="D18">
        <v>114.88</v>
      </c>
      <c r="E18">
        <v>108.09</v>
      </c>
    </row>
    <row r="19" spans="1:5" x14ac:dyDescent="0.2">
      <c r="A19">
        <v>110.39</v>
      </c>
      <c r="C19">
        <v>106.6</v>
      </c>
      <c r="D19">
        <v>114.88</v>
      </c>
      <c r="E19">
        <v>108.09</v>
      </c>
    </row>
    <row r="20" spans="1:5" x14ac:dyDescent="0.2">
      <c r="A20">
        <v>118.7</v>
      </c>
      <c r="C20">
        <v>106.6</v>
      </c>
      <c r="D20">
        <v>110.59</v>
      </c>
      <c r="E20">
        <v>106.48</v>
      </c>
    </row>
    <row r="21" spans="1:5" x14ac:dyDescent="0.2">
      <c r="A21">
        <v>118.7</v>
      </c>
      <c r="C21">
        <v>113.68</v>
      </c>
      <c r="D21">
        <v>110.59</v>
      </c>
      <c r="E21">
        <v>106.48</v>
      </c>
    </row>
    <row r="22" spans="1:5" x14ac:dyDescent="0.2">
      <c r="A22">
        <v>107.64</v>
      </c>
      <c r="C22">
        <v>113.68</v>
      </c>
      <c r="D22">
        <v>109.11</v>
      </c>
      <c r="E22">
        <v>113.1</v>
      </c>
    </row>
    <row r="23" spans="1:5" x14ac:dyDescent="0.2">
      <c r="A23">
        <v>107.64</v>
      </c>
      <c r="C23">
        <v>104.39</v>
      </c>
      <c r="D23">
        <v>109.11</v>
      </c>
      <c r="E23">
        <v>113.1</v>
      </c>
    </row>
    <row r="24" spans="1:5" x14ac:dyDescent="0.2">
      <c r="A24">
        <v>111.54</v>
      </c>
      <c r="C24">
        <v>104.39</v>
      </c>
      <c r="D24">
        <v>110.62</v>
      </c>
      <c r="E24">
        <v>109.8</v>
      </c>
    </row>
    <row r="25" spans="1:5" x14ac:dyDescent="0.2">
      <c r="A25">
        <v>111.54</v>
      </c>
      <c r="C25">
        <v>106.34</v>
      </c>
      <c r="D25">
        <v>110.62</v>
      </c>
      <c r="E25">
        <v>109.8</v>
      </c>
    </row>
    <row r="26" spans="1:5" x14ac:dyDescent="0.2">
      <c r="A26">
        <v>109.52</v>
      </c>
      <c r="C26">
        <v>106.34</v>
      </c>
      <c r="D26">
        <v>107.77</v>
      </c>
      <c r="E26">
        <v>108.59</v>
      </c>
    </row>
    <row r="27" spans="1:5" x14ac:dyDescent="0.2">
      <c r="A27">
        <v>109.52</v>
      </c>
      <c r="C27">
        <v>107.31</v>
      </c>
      <c r="D27">
        <v>107.77</v>
      </c>
      <c r="E27">
        <v>108.59</v>
      </c>
    </row>
    <row r="28" spans="1:5" x14ac:dyDescent="0.2">
      <c r="A28">
        <v>103.91</v>
      </c>
      <c r="C28">
        <v>107.31</v>
      </c>
      <c r="D28">
        <v>105.25</v>
      </c>
      <c r="E28">
        <v>113.41</v>
      </c>
    </row>
    <row r="29" spans="1:5" x14ac:dyDescent="0.2">
      <c r="A29">
        <v>103.91</v>
      </c>
      <c r="C29">
        <v>113.2</v>
      </c>
      <c r="D29">
        <v>105.25</v>
      </c>
      <c r="E29">
        <v>113.41</v>
      </c>
    </row>
    <row r="30" spans="1:5" x14ac:dyDescent="0.2">
      <c r="A30">
        <v>105.7</v>
      </c>
      <c r="C30">
        <v>113.2</v>
      </c>
      <c r="D30">
        <v>117.23</v>
      </c>
      <c r="E30">
        <v>112.5</v>
      </c>
    </row>
    <row r="31" spans="1:5" x14ac:dyDescent="0.2">
      <c r="A31">
        <v>105.7</v>
      </c>
      <c r="C31">
        <v>107.93</v>
      </c>
      <c r="D31">
        <v>117.23</v>
      </c>
      <c r="E31">
        <v>112.5</v>
      </c>
    </row>
    <row r="32" spans="1:5" x14ac:dyDescent="0.2">
      <c r="A32">
        <v>115.23</v>
      </c>
      <c r="C32">
        <v>107.93</v>
      </c>
      <c r="D32">
        <v>109</v>
      </c>
      <c r="E32">
        <v>107.56</v>
      </c>
    </row>
    <row r="33" spans="1:5" x14ac:dyDescent="0.2">
      <c r="A33">
        <v>115.23</v>
      </c>
      <c r="C33">
        <v>116.4</v>
      </c>
      <c r="D33">
        <v>109</v>
      </c>
      <c r="E33">
        <v>107.56</v>
      </c>
    </row>
    <row r="34" spans="1:5" x14ac:dyDescent="0.2">
      <c r="A34">
        <v>107.24</v>
      </c>
      <c r="C34">
        <v>116.4</v>
      </c>
      <c r="D34">
        <v>106.83</v>
      </c>
      <c r="E34">
        <v>108.46</v>
      </c>
    </row>
    <row r="35" spans="1:5" x14ac:dyDescent="0.2">
      <c r="A35">
        <v>107.24</v>
      </c>
      <c r="C35">
        <v>107.56</v>
      </c>
      <c r="D35">
        <v>106.83</v>
      </c>
      <c r="E35">
        <v>108.46</v>
      </c>
    </row>
    <row r="36" spans="1:5" x14ac:dyDescent="0.2">
      <c r="A36">
        <v>106.13</v>
      </c>
      <c r="C36">
        <v>105.29</v>
      </c>
      <c r="D36">
        <v>112.65</v>
      </c>
      <c r="E36">
        <v>107.18</v>
      </c>
    </row>
    <row r="37" spans="1:5" x14ac:dyDescent="0.2">
      <c r="A37">
        <v>106.13</v>
      </c>
      <c r="C37">
        <v>105.29</v>
      </c>
      <c r="D37">
        <v>112.65</v>
      </c>
      <c r="E37">
        <v>107.18</v>
      </c>
    </row>
    <row r="38" spans="1:5" x14ac:dyDescent="0.2">
      <c r="A38">
        <v>116.27</v>
      </c>
      <c r="C38">
        <v>112.21</v>
      </c>
      <c r="D38">
        <v>106.69</v>
      </c>
      <c r="E38">
        <v>107.45</v>
      </c>
    </row>
    <row r="39" spans="1:5" x14ac:dyDescent="0.2">
      <c r="A39">
        <v>116.27</v>
      </c>
      <c r="C39">
        <v>112.21</v>
      </c>
      <c r="D39">
        <v>106.69</v>
      </c>
      <c r="E39">
        <v>107.45</v>
      </c>
    </row>
    <row r="40" spans="1:5" x14ac:dyDescent="0.2">
      <c r="A40">
        <v>108.78</v>
      </c>
      <c r="C40">
        <v>104.67</v>
      </c>
      <c r="D40">
        <v>103.7</v>
      </c>
      <c r="E40">
        <v>116.21</v>
      </c>
    </row>
    <row r="41" spans="1:5" x14ac:dyDescent="0.2">
      <c r="A41">
        <v>108.78</v>
      </c>
      <c r="C41">
        <v>104.67</v>
      </c>
      <c r="D41">
        <v>103.7</v>
      </c>
      <c r="E41">
        <v>116.21</v>
      </c>
    </row>
    <row r="42" spans="1:5" x14ac:dyDescent="0.2">
      <c r="A42">
        <v>110.67</v>
      </c>
      <c r="C42">
        <v>104.27</v>
      </c>
      <c r="D42">
        <v>109.09</v>
      </c>
      <c r="E42">
        <v>118.09</v>
      </c>
    </row>
    <row r="43" spans="1:5" x14ac:dyDescent="0.2">
      <c r="A43">
        <v>110.67</v>
      </c>
      <c r="C43">
        <v>104.27</v>
      </c>
      <c r="D43">
        <v>109.09</v>
      </c>
      <c r="E43">
        <v>118.09</v>
      </c>
    </row>
    <row r="44" spans="1:5" x14ac:dyDescent="0.2">
      <c r="A44">
        <v>109.05</v>
      </c>
      <c r="C44">
        <v>112.59</v>
      </c>
      <c r="D44">
        <v>105.81</v>
      </c>
      <c r="E44">
        <v>112.6</v>
      </c>
    </row>
    <row r="45" spans="1:5" x14ac:dyDescent="0.2">
      <c r="A45">
        <v>109.05</v>
      </c>
      <c r="C45">
        <v>112.59</v>
      </c>
      <c r="D45">
        <v>105.81</v>
      </c>
      <c r="E45">
        <v>112.6</v>
      </c>
    </row>
    <row r="46" spans="1:5" x14ac:dyDescent="0.2">
      <c r="A46">
        <v>106.11</v>
      </c>
      <c r="C46">
        <v>111.46</v>
      </c>
      <c r="D46">
        <v>106.02</v>
      </c>
      <c r="E46">
        <v>116.63</v>
      </c>
    </row>
    <row r="47" spans="1:5" x14ac:dyDescent="0.2">
      <c r="A47">
        <v>106.11</v>
      </c>
      <c r="C47">
        <v>111.46</v>
      </c>
      <c r="D47">
        <v>106.02</v>
      </c>
      <c r="E47">
        <v>116.63</v>
      </c>
    </row>
    <row r="48" spans="1:5" x14ac:dyDescent="0.2">
      <c r="A48">
        <v>104.51</v>
      </c>
      <c r="C48">
        <v>107.15</v>
      </c>
      <c r="D48">
        <v>108.33</v>
      </c>
      <c r="E48">
        <v>109.35</v>
      </c>
    </row>
    <row r="49" spans="1:5" x14ac:dyDescent="0.2">
      <c r="A49">
        <v>104.51</v>
      </c>
      <c r="C49">
        <v>107.15</v>
      </c>
      <c r="D49">
        <v>108.33</v>
      </c>
      <c r="E49">
        <v>109.35</v>
      </c>
    </row>
    <row r="50" spans="1:5" x14ac:dyDescent="0.2">
      <c r="A50">
        <v>116.96</v>
      </c>
      <c r="C50">
        <v>114.66</v>
      </c>
      <c r="D50">
        <v>116.14</v>
      </c>
      <c r="E50">
        <v>107.78</v>
      </c>
    </row>
    <row r="51" spans="1:5" x14ac:dyDescent="0.2">
      <c r="A51">
        <v>116.96</v>
      </c>
      <c r="C51">
        <v>114.66</v>
      </c>
      <c r="D51">
        <v>116.14</v>
      </c>
      <c r="E51">
        <v>107.78</v>
      </c>
    </row>
    <row r="52" spans="1:5" x14ac:dyDescent="0.2">
      <c r="A52">
        <v>105.5</v>
      </c>
      <c r="C52">
        <v>110.19</v>
      </c>
      <c r="D52">
        <v>110.6</v>
      </c>
      <c r="E52">
        <v>114.44</v>
      </c>
    </row>
    <row r="53" spans="1:5" x14ac:dyDescent="0.2">
      <c r="A53">
        <v>105.5</v>
      </c>
      <c r="C53">
        <v>110.19</v>
      </c>
      <c r="D53">
        <v>110.6</v>
      </c>
      <c r="E53">
        <v>114.44</v>
      </c>
    </row>
    <row r="54" spans="1:5" x14ac:dyDescent="0.2">
      <c r="A54">
        <v>106.47</v>
      </c>
      <c r="C54">
        <v>105.02</v>
      </c>
      <c r="D54">
        <v>109.11</v>
      </c>
      <c r="E54">
        <v>111.04</v>
      </c>
    </row>
    <row r="55" spans="1:5" x14ac:dyDescent="0.2">
      <c r="A55">
        <v>106.47</v>
      </c>
      <c r="C55">
        <v>105.02</v>
      </c>
      <c r="D55">
        <v>109.11</v>
      </c>
      <c r="E55">
        <v>111.04</v>
      </c>
    </row>
    <row r="56" spans="1:5" x14ac:dyDescent="0.2">
      <c r="A56">
        <v>112.5</v>
      </c>
      <c r="C56">
        <v>108.15</v>
      </c>
      <c r="D56">
        <v>108.45</v>
      </c>
      <c r="E56">
        <v>109.79</v>
      </c>
    </row>
    <row r="57" spans="1:5" x14ac:dyDescent="0.2">
      <c r="A57">
        <v>112.5</v>
      </c>
      <c r="C57">
        <v>108.15</v>
      </c>
      <c r="D57">
        <v>108.45</v>
      </c>
      <c r="E57">
        <v>109.79</v>
      </c>
    </row>
    <row r="58" spans="1:5" x14ac:dyDescent="0.2">
      <c r="A58">
        <v>108.52</v>
      </c>
      <c r="C58">
        <v>109.59</v>
      </c>
      <c r="D58">
        <v>104.72</v>
      </c>
      <c r="E58">
        <v>113.96</v>
      </c>
    </row>
    <row r="59" spans="1:5" x14ac:dyDescent="0.2">
      <c r="A59">
        <v>108.52</v>
      </c>
      <c r="C59">
        <v>109.59</v>
      </c>
      <c r="D59">
        <v>104.72</v>
      </c>
      <c r="E59">
        <v>113.96</v>
      </c>
    </row>
    <row r="60" spans="1:5" x14ac:dyDescent="0.2">
      <c r="A60">
        <v>107.22</v>
      </c>
      <c r="C60">
        <v>105.11</v>
      </c>
      <c r="D60">
        <v>106.03</v>
      </c>
      <c r="E60">
        <v>119.07</v>
      </c>
    </row>
    <row r="61" spans="1:5" x14ac:dyDescent="0.2">
      <c r="A61">
        <v>107.22</v>
      </c>
      <c r="C61">
        <v>105.11</v>
      </c>
      <c r="D61">
        <v>106.03</v>
      </c>
      <c r="E61">
        <v>119.07</v>
      </c>
    </row>
    <row r="62" spans="1:5" x14ac:dyDescent="0.2">
      <c r="A62">
        <v>113.08</v>
      </c>
      <c r="C62">
        <v>115.99</v>
      </c>
      <c r="D62">
        <v>115.19</v>
      </c>
      <c r="E62">
        <v>114.22</v>
      </c>
    </row>
    <row r="63" spans="1:5" x14ac:dyDescent="0.2">
      <c r="A63">
        <v>113.08</v>
      </c>
      <c r="C63">
        <v>115.99</v>
      </c>
      <c r="D63">
        <v>115.19</v>
      </c>
      <c r="E63">
        <v>114.22</v>
      </c>
    </row>
    <row r="64" spans="1:5" x14ac:dyDescent="0.2">
      <c r="A64">
        <v>106.65</v>
      </c>
      <c r="C64">
        <v>112.24</v>
      </c>
      <c r="D64">
        <v>106.05</v>
      </c>
      <c r="E64">
        <v>108.17</v>
      </c>
    </row>
    <row r="65" spans="1:5" x14ac:dyDescent="0.2">
      <c r="A65">
        <v>106.65</v>
      </c>
      <c r="C65">
        <v>112.24</v>
      </c>
      <c r="D65">
        <v>106.05</v>
      </c>
      <c r="E65">
        <v>108.17</v>
      </c>
    </row>
    <row r="66" spans="1:5" x14ac:dyDescent="0.2">
      <c r="A66">
        <v>106.43</v>
      </c>
      <c r="C66">
        <v>103.14</v>
      </c>
      <c r="D66">
        <v>108.03</v>
      </c>
      <c r="E66">
        <v>120.92</v>
      </c>
    </row>
    <row r="67" spans="1:5" x14ac:dyDescent="0.2">
      <c r="A67">
        <v>106.43</v>
      </c>
      <c r="C67">
        <v>103.14</v>
      </c>
      <c r="D67">
        <v>108.03</v>
      </c>
      <c r="E67">
        <v>120.92</v>
      </c>
    </row>
    <row r="68" spans="1:5" x14ac:dyDescent="0.2">
      <c r="A68">
        <v>106.03</v>
      </c>
      <c r="C68">
        <v>106.18</v>
      </c>
      <c r="D68">
        <v>117.13</v>
      </c>
      <c r="E68">
        <v>109.82</v>
      </c>
    </row>
    <row r="69" spans="1:5" x14ac:dyDescent="0.2">
      <c r="A69">
        <v>106.03</v>
      </c>
      <c r="C69">
        <v>106.18</v>
      </c>
      <c r="D69">
        <v>117.13</v>
      </c>
      <c r="E69">
        <v>109.82</v>
      </c>
    </row>
    <row r="70" spans="1:5" x14ac:dyDescent="0.2">
      <c r="A70">
        <v>111.7</v>
      </c>
      <c r="C70">
        <v>111.02</v>
      </c>
      <c r="D70">
        <v>107.83</v>
      </c>
      <c r="E70">
        <v>111.41</v>
      </c>
    </row>
    <row r="71" spans="1:5" x14ac:dyDescent="0.2">
      <c r="A71">
        <v>111.7</v>
      </c>
      <c r="C71">
        <v>111.02</v>
      </c>
      <c r="D71">
        <v>107.83</v>
      </c>
      <c r="E71">
        <v>111.41</v>
      </c>
    </row>
    <row r="72" spans="1:5" x14ac:dyDescent="0.2">
      <c r="A72">
        <v>109.74</v>
      </c>
      <c r="C72">
        <v>104.42</v>
      </c>
      <c r="D72">
        <v>108.06</v>
      </c>
      <c r="E72">
        <v>112.07</v>
      </c>
    </row>
    <row r="73" spans="1:5" x14ac:dyDescent="0.2">
      <c r="A73">
        <v>109.74</v>
      </c>
      <c r="C73">
        <v>104.42</v>
      </c>
      <c r="D73">
        <v>108.06</v>
      </c>
      <c r="E73">
        <v>112.07</v>
      </c>
    </row>
    <row r="74" spans="1:5" x14ac:dyDescent="0.2">
      <c r="A74">
        <v>113.49</v>
      </c>
      <c r="C74">
        <v>109.31</v>
      </c>
      <c r="D74">
        <v>110.24</v>
      </c>
      <c r="E74">
        <v>109.18</v>
      </c>
    </row>
    <row r="75" spans="1:5" x14ac:dyDescent="0.2">
      <c r="A75">
        <v>113.49</v>
      </c>
      <c r="C75">
        <v>109.31</v>
      </c>
      <c r="D75">
        <v>110.24</v>
      </c>
      <c r="E75">
        <v>109.18</v>
      </c>
    </row>
    <row r="76" spans="1:5" x14ac:dyDescent="0.2">
      <c r="A76">
        <v>107.39</v>
      </c>
      <c r="C76">
        <v>113.04</v>
      </c>
      <c r="D76">
        <v>107.42</v>
      </c>
      <c r="E76">
        <v>111.95</v>
      </c>
    </row>
    <row r="77" spans="1:5" x14ac:dyDescent="0.2">
      <c r="A77">
        <v>107.39</v>
      </c>
      <c r="C77">
        <v>113.04</v>
      </c>
      <c r="D77">
        <v>107.42</v>
      </c>
      <c r="E77">
        <v>111.95</v>
      </c>
    </row>
    <row r="78" spans="1:5" x14ac:dyDescent="0.2">
      <c r="A78">
        <v>114.98</v>
      </c>
      <c r="C78">
        <v>111.11</v>
      </c>
      <c r="D78">
        <v>109.35</v>
      </c>
      <c r="E78">
        <v>115.61</v>
      </c>
    </row>
    <row r="79" spans="1:5" x14ac:dyDescent="0.2">
      <c r="A79">
        <v>114.98</v>
      </c>
      <c r="C79">
        <v>111.11</v>
      </c>
      <c r="D79">
        <v>109.35</v>
      </c>
      <c r="E79">
        <v>115.61</v>
      </c>
    </row>
    <row r="80" spans="1:5" x14ac:dyDescent="0.2">
      <c r="A80">
        <v>105.89</v>
      </c>
      <c r="C80">
        <v>108.95</v>
      </c>
      <c r="D80">
        <v>108.37</v>
      </c>
      <c r="E80">
        <v>110.04</v>
      </c>
    </row>
    <row r="81" spans="1:5" x14ac:dyDescent="0.2">
      <c r="A81">
        <v>105.89</v>
      </c>
      <c r="C81">
        <v>108.95</v>
      </c>
      <c r="D81">
        <v>108.37</v>
      </c>
      <c r="E81">
        <v>110.04</v>
      </c>
    </row>
    <row r="82" spans="1:5" x14ac:dyDescent="0.2">
      <c r="A82">
        <v>115.18</v>
      </c>
      <c r="C82">
        <v>112.58</v>
      </c>
      <c r="D82">
        <v>119.13</v>
      </c>
      <c r="E82">
        <v>107.98</v>
      </c>
    </row>
    <row r="83" spans="1:5" x14ac:dyDescent="0.2">
      <c r="A83">
        <v>115.18</v>
      </c>
      <c r="C83">
        <v>112.58</v>
      </c>
      <c r="D83">
        <v>119.13</v>
      </c>
      <c r="E83">
        <v>107.98</v>
      </c>
    </row>
    <row r="84" spans="1:5" x14ac:dyDescent="0.2">
      <c r="A84">
        <v>104.32</v>
      </c>
      <c r="C84">
        <v>105.6</v>
      </c>
      <c r="D84">
        <v>111.98</v>
      </c>
      <c r="E84">
        <v>108.16</v>
      </c>
    </row>
    <row r="85" spans="1:5" x14ac:dyDescent="0.2">
      <c r="A85">
        <v>104.32</v>
      </c>
      <c r="C85">
        <v>105.6</v>
      </c>
      <c r="D85">
        <v>111.98</v>
      </c>
      <c r="E85">
        <v>108.16</v>
      </c>
    </row>
    <row r="86" spans="1:5" x14ac:dyDescent="0.2">
      <c r="A86">
        <v>107.66</v>
      </c>
      <c r="C86">
        <v>106.01</v>
      </c>
      <c r="D86">
        <v>113.77</v>
      </c>
      <c r="E86">
        <v>106.34</v>
      </c>
    </row>
    <row r="87" spans="1:5" x14ac:dyDescent="0.2">
      <c r="A87">
        <v>107.66</v>
      </c>
      <c r="C87">
        <v>106.01</v>
      </c>
      <c r="D87">
        <v>113.77</v>
      </c>
      <c r="E87">
        <v>106.34</v>
      </c>
    </row>
    <row r="88" spans="1:5" x14ac:dyDescent="0.2">
      <c r="A88">
        <v>114.06</v>
      </c>
      <c r="C88">
        <v>112.51</v>
      </c>
      <c r="D88">
        <v>105.03</v>
      </c>
      <c r="E88">
        <v>105.45</v>
      </c>
    </row>
    <row r="89" spans="1:5" x14ac:dyDescent="0.2">
      <c r="A89">
        <v>114.06</v>
      </c>
      <c r="C89">
        <v>112.51</v>
      </c>
      <c r="D89">
        <v>105.03</v>
      </c>
      <c r="E89">
        <v>105.45</v>
      </c>
    </row>
    <row r="90" spans="1:5" x14ac:dyDescent="0.2">
      <c r="A90">
        <v>107.64</v>
      </c>
      <c r="C90">
        <v>104.4</v>
      </c>
      <c r="D90">
        <v>105.81</v>
      </c>
      <c r="E90">
        <v>115.66</v>
      </c>
    </row>
    <row r="91" spans="1:5" x14ac:dyDescent="0.2">
      <c r="A91">
        <v>107.64</v>
      </c>
      <c r="C91">
        <v>104.4</v>
      </c>
      <c r="D91">
        <v>105.81</v>
      </c>
      <c r="E91">
        <v>115.66</v>
      </c>
    </row>
    <row r="92" spans="1:5" x14ac:dyDescent="0.2">
      <c r="A92">
        <v>105.04</v>
      </c>
      <c r="C92">
        <v>108.49</v>
      </c>
      <c r="D92">
        <v>111.01</v>
      </c>
      <c r="E92">
        <v>112.24</v>
      </c>
    </row>
    <row r="93" spans="1:5" x14ac:dyDescent="0.2">
      <c r="A93">
        <v>105.04</v>
      </c>
      <c r="C93">
        <v>108.49</v>
      </c>
      <c r="D93">
        <v>111.01</v>
      </c>
      <c r="E93">
        <v>112.24</v>
      </c>
    </row>
    <row r="94" spans="1:5" x14ac:dyDescent="0.2">
      <c r="A94">
        <v>108.97</v>
      </c>
      <c r="C94">
        <v>115.06</v>
      </c>
      <c r="D94">
        <v>112.27</v>
      </c>
      <c r="E94">
        <v>114.85</v>
      </c>
    </row>
    <row r="95" spans="1:5" x14ac:dyDescent="0.2">
      <c r="A95">
        <v>108.97</v>
      </c>
      <c r="C95">
        <v>115.06</v>
      </c>
      <c r="D95">
        <v>112.27</v>
      </c>
      <c r="E95">
        <v>114.85</v>
      </c>
    </row>
    <row r="96" spans="1:5" x14ac:dyDescent="0.2">
      <c r="A96">
        <v>105.52</v>
      </c>
      <c r="C96">
        <v>108.05</v>
      </c>
      <c r="D96">
        <v>105.88</v>
      </c>
      <c r="E96">
        <v>116.98</v>
      </c>
    </row>
    <row r="97" spans="1:5" x14ac:dyDescent="0.2">
      <c r="A97">
        <v>105.52</v>
      </c>
      <c r="C97">
        <v>108.05</v>
      </c>
      <c r="D97">
        <v>105.88</v>
      </c>
      <c r="E97">
        <v>116.98</v>
      </c>
    </row>
    <row r="98" spans="1:5" x14ac:dyDescent="0.2">
      <c r="A98">
        <v>106.21</v>
      </c>
      <c r="C98">
        <v>104.45</v>
      </c>
      <c r="D98">
        <v>113.08</v>
      </c>
      <c r="E98">
        <v>108.79</v>
      </c>
    </row>
    <row r="99" spans="1:5" x14ac:dyDescent="0.2">
      <c r="A99">
        <v>106.21</v>
      </c>
      <c r="C99">
        <v>104.45</v>
      </c>
      <c r="D99">
        <v>113.08</v>
      </c>
      <c r="E99">
        <v>108.79</v>
      </c>
    </row>
    <row r="100" spans="1:5" x14ac:dyDescent="0.2">
      <c r="A100">
        <v>113.05</v>
      </c>
      <c r="C100">
        <v>112.83</v>
      </c>
      <c r="D100">
        <v>121.35</v>
      </c>
      <c r="E100">
        <v>107.5</v>
      </c>
    </row>
    <row r="101" spans="1:5" x14ac:dyDescent="0.2">
      <c r="A101">
        <v>113.05</v>
      </c>
      <c r="C101">
        <v>112.83</v>
      </c>
      <c r="D101">
        <v>121.35</v>
      </c>
      <c r="E101">
        <v>107.5</v>
      </c>
    </row>
    <row r="102" spans="1:5" x14ac:dyDescent="0.2">
      <c r="A102">
        <v>107.9</v>
      </c>
      <c r="C102">
        <v>106.74</v>
      </c>
      <c r="D102">
        <v>109.95</v>
      </c>
      <c r="E102">
        <v>111.25</v>
      </c>
    </row>
    <row r="103" spans="1:5" x14ac:dyDescent="0.2">
      <c r="A103">
        <v>107.9</v>
      </c>
      <c r="C103">
        <v>106.74</v>
      </c>
      <c r="D103">
        <v>109.95</v>
      </c>
      <c r="E103">
        <v>111.25</v>
      </c>
    </row>
    <row r="104" spans="1:5" x14ac:dyDescent="0.2">
      <c r="A104">
        <v>108.78</v>
      </c>
      <c r="C104">
        <v>106</v>
      </c>
      <c r="D104">
        <v>110.57</v>
      </c>
      <c r="E104">
        <v>109.48</v>
      </c>
    </row>
    <row r="105" spans="1:5" x14ac:dyDescent="0.2">
      <c r="A105">
        <v>108.78</v>
      </c>
      <c r="C105">
        <v>106</v>
      </c>
      <c r="D105">
        <v>110.57</v>
      </c>
      <c r="E105">
        <v>109.48</v>
      </c>
    </row>
    <row r="106" spans="1:5" x14ac:dyDescent="0.2">
      <c r="A106">
        <v>119.67</v>
      </c>
      <c r="C106">
        <v>112.79</v>
      </c>
      <c r="D106">
        <v>110.26</v>
      </c>
      <c r="E106">
        <v>108.93</v>
      </c>
    </row>
    <row r="107" spans="1:5" x14ac:dyDescent="0.2">
      <c r="A107">
        <v>119.67</v>
      </c>
      <c r="C107">
        <v>112.79</v>
      </c>
      <c r="D107">
        <v>110.26</v>
      </c>
      <c r="E107">
        <v>108.93</v>
      </c>
    </row>
    <row r="108" spans="1:5" x14ac:dyDescent="0.2">
      <c r="A108">
        <v>106.23</v>
      </c>
      <c r="C108">
        <v>103.92</v>
      </c>
      <c r="D108">
        <v>106.99</v>
      </c>
      <c r="E108">
        <v>117.49</v>
      </c>
    </row>
    <row r="109" spans="1:5" x14ac:dyDescent="0.2">
      <c r="A109">
        <v>106.23</v>
      </c>
      <c r="C109">
        <v>103.92</v>
      </c>
      <c r="D109">
        <v>106.99</v>
      </c>
      <c r="E109">
        <v>117.49</v>
      </c>
    </row>
    <row r="110" spans="1:5" x14ac:dyDescent="0.2">
      <c r="A110">
        <v>105.18</v>
      </c>
      <c r="C110">
        <v>109.88</v>
      </c>
      <c r="D110">
        <v>106.52</v>
      </c>
      <c r="E110">
        <v>120.32</v>
      </c>
    </row>
    <row r="111" spans="1:5" x14ac:dyDescent="0.2">
      <c r="A111">
        <v>105.18</v>
      </c>
      <c r="C111">
        <v>109.88</v>
      </c>
      <c r="D111">
        <v>106.52</v>
      </c>
      <c r="E111">
        <v>120.32</v>
      </c>
    </row>
    <row r="112" spans="1:5" x14ac:dyDescent="0.2">
      <c r="A112">
        <v>109.61</v>
      </c>
      <c r="C112">
        <v>109.91</v>
      </c>
      <c r="D112">
        <v>106.89</v>
      </c>
      <c r="E112">
        <v>107.51</v>
      </c>
    </row>
    <row r="113" spans="1:5" x14ac:dyDescent="0.2">
      <c r="A113">
        <v>109.61</v>
      </c>
      <c r="C113">
        <v>109.91</v>
      </c>
      <c r="D113">
        <v>106.89</v>
      </c>
      <c r="E113">
        <v>107.51</v>
      </c>
    </row>
    <row r="114" spans="1:5" x14ac:dyDescent="0.2">
      <c r="A114">
        <v>108.25</v>
      </c>
      <c r="C114">
        <v>107.44</v>
      </c>
      <c r="D114">
        <v>106.88</v>
      </c>
      <c r="E114">
        <v>114.67</v>
      </c>
    </row>
    <row r="115" spans="1:5" x14ac:dyDescent="0.2">
      <c r="A115">
        <v>108.25</v>
      </c>
      <c r="C115">
        <v>107.44</v>
      </c>
      <c r="D115">
        <v>106.88</v>
      </c>
      <c r="E115">
        <v>114.67</v>
      </c>
    </row>
    <row r="116" spans="1:5" x14ac:dyDescent="0.2">
      <c r="A116">
        <v>103.56</v>
      </c>
      <c r="C116">
        <v>104.99</v>
      </c>
      <c r="D116">
        <v>115.09</v>
      </c>
      <c r="E116">
        <v>109.96</v>
      </c>
    </row>
    <row r="117" spans="1:5" x14ac:dyDescent="0.2">
      <c r="A117">
        <v>103.56</v>
      </c>
      <c r="C117">
        <v>104.99</v>
      </c>
      <c r="D117">
        <v>115.09</v>
      </c>
      <c r="E117">
        <v>109.96</v>
      </c>
    </row>
    <row r="118" spans="1:5" x14ac:dyDescent="0.2">
      <c r="A118">
        <v>114.12</v>
      </c>
      <c r="C118">
        <v>113.78</v>
      </c>
      <c r="D118">
        <v>112.04</v>
      </c>
      <c r="E118">
        <v>116.86</v>
      </c>
    </row>
    <row r="119" spans="1:5" x14ac:dyDescent="0.2">
      <c r="A119">
        <v>114.12</v>
      </c>
      <c r="C119">
        <v>113.78</v>
      </c>
      <c r="D119">
        <v>112.04</v>
      </c>
      <c r="E119">
        <v>116.86</v>
      </c>
    </row>
    <row r="120" spans="1:5" x14ac:dyDescent="0.2">
      <c r="A120">
        <v>109.08</v>
      </c>
      <c r="C120">
        <v>108.72</v>
      </c>
      <c r="D120">
        <v>106.99</v>
      </c>
      <c r="E120">
        <v>114.78</v>
      </c>
    </row>
    <row r="121" spans="1:5" x14ac:dyDescent="0.2">
      <c r="A121">
        <v>109.08</v>
      </c>
      <c r="C121">
        <v>108.72</v>
      </c>
      <c r="D121">
        <v>106.99</v>
      </c>
      <c r="E121">
        <v>114.78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28C6A-A4F6-0A4C-B8C2-DF28B6DFEDF7}">
  <dimension ref="A1:J121"/>
  <sheetViews>
    <sheetView workbookViewId="0">
      <selection activeCell="A2" sqref="A2"/>
    </sheetView>
  </sheetViews>
  <sheetFormatPr baseColWidth="10" defaultRowHeight="16" x14ac:dyDescent="0.2"/>
  <cols>
    <col min="1" max="1" width="16.5" bestFit="1" customWidth="1"/>
    <col min="9" max="9" width="14.1640625" bestFit="1" customWidth="1"/>
    <col min="10" max="10" width="16" bestFit="1" customWidth="1"/>
  </cols>
  <sheetData>
    <row r="1" spans="1:10" x14ac:dyDescent="0.2">
      <c r="A1" t="s">
        <v>32</v>
      </c>
      <c r="B1" t="s">
        <v>28</v>
      </c>
      <c r="C1" t="s">
        <v>11</v>
      </c>
      <c r="D1" t="s">
        <v>10</v>
      </c>
      <c r="E1" s="1" t="s">
        <v>9</v>
      </c>
      <c r="F1" t="s">
        <v>0</v>
      </c>
      <c r="G1" t="s">
        <v>8</v>
      </c>
      <c r="H1" t="s">
        <v>14</v>
      </c>
      <c r="I1" t="s">
        <v>24</v>
      </c>
      <c r="J1" t="s">
        <v>23</v>
      </c>
    </row>
    <row r="2" spans="1:10" x14ac:dyDescent="0.2">
      <c r="A2">
        <v>113.7</v>
      </c>
      <c r="B2" t="s">
        <v>17</v>
      </c>
      <c r="C2" t="s">
        <v>17</v>
      </c>
      <c r="D2">
        <v>158.09</v>
      </c>
      <c r="E2" t="s">
        <v>17</v>
      </c>
      <c r="F2" t="s">
        <v>1</v>
      </c>
      <c r="G2">
        <f>AVERAGE(A:A)</f>
        <v>120.53008333333337</v>
      </c>
      <c r="H2">
        <v>20</v>
      </c>
      <c r="I2">
        <f t="shared" ref="I2:I5" si="0">G2-H2</f>
        <v>100.53008333333337</v>
      </c>
      <c r="J2">
        <f>13+I2</f>
        <v>113.53008333333337</v>
      </c>
    </row>
    <row r="3" spans="1:10" x14ac:dyDescent="0.2">
      <c r="A3">
        <v>113.7</v>
      </c>
      <c r="D3">
        <v>158.09</v>
      </c>
      <c r="F3" t="s">
        <v>3</v>
      </c>
      <c r="G3" t="s">
        <v>17</v>
      </c>
      <c r="H3" t="s">
        <v>17</v>
      </c>
      <c r="I3" t="s">
        <v>17</v>
      </c>
      <c r="J3" t="s">
        <v>17</v>
      </c>
    </row>
    <row r="4" spans="1:10" x14ac:dyDescent="0.2">
      <c r="A4">
        <v>120.77</v>
      </c>
      <c r="D4">
        <v>158.35</v>
      </c>
      <c r="F4" t="s">
        <v>2</v>
      </c>
      <c r="G4" t="s">
        <v>17</v>
      </c>
      <c r="H4" t="s">
        <v>17</v>
      </c>
      <c r="I4" t="s">
        <v>17</v>
      </c>
      <c r="J4" t="s">
        <v>17</v>
      </c>
    </row>
    <row r="5" spans="1:10" x14ac:dyDescent="0.2">
      <c r="A5">
        <v>120.77</v>
      </c>
      <c r="D5">
        <v>158.35</v>
      </c>
      <c r="F5" t="s">
        <v>4</v>
      </c>
      <c r="G5">
        <f>AVERAGE(D:D)</f>
        <v>153.7485833333333</v>
      </c>
      <c r="H5">
        <f>AVERAGE(42,44)</f>
        <v>43</v>
      </c>
      <c r="I5">
        <f t="shared" si="0"/>
        <v>110.7485833333333</v>
      </c>
      <c r="J5">
        <f>13+I5</f>
        <v>123.7485833333333</v>
      </c>
    </row>
    <row r="6" spans="1:10" x14ac:dyDescent="0.2">
      <c r="A6">
        <v>117.89</v>
      </c>
      <c r="D6">
        <v>150.05000000000001</v>
      </c>
      <c r="F6" t="s">
        <v>5</v>
      </c>
      <c r="G6" t="s">
        <v>17</v>
      </c>
      <c r="H6" t="s">
        <v>17</v>
      </c>
      <c r="I6" t="s">
        <v>17</v>
      </c>
      <c r="J6" t="s">
        <v>17</v>
      </c>
    </row>
    <row r="7" spans="1:10" x14ac:dyDescent="0.2">
      <c r="A7">
        <v>117.89</v>
      </c>
      <c r="D7">
        <v>150.05000000000001</v>
      </c>
    </row>
    <row r="8" spans="1:10" x14ac:dyDescent="0.2">
      <c r="A8">
        <v>123.33</v>
      </c>
      <c r="D8">
        <v>154.44999999999999</v>
      </c>
    </row>
    <row r="9" spans="1:10" x14ac:dyDescent="0.2">
      <c r="A9">
        <v>123.33</v>
      </c>
      <c r="D9">
        <v>154.44999999999999</v>
      </c>
    </row>
    <row r="10" spans="1:10" x14ac:dyDescent="0.2">
      <c r="A10">
        <v>121.65</v>
      </c>
      <c r="D10">
        <v>150.81</v>
      </c>
    </row>
    <row r="11" spans="1:10" x14ac:dyDescent="0.2">
      <c r="A11">
        <v>121.65</v>
      </c>
      <c r="D11">
        <v>150.81</v>
      </c>
    </row>
    <row r="12" spans="1:10" x14ac:dyDescent="0.2">
      <c r="A12">
        <v>116.8</v>
      </c>
      <c r="D12">
        <v>157.55000000000001</v>
      </c>
    </row>
    <row r="13" spans="1:10" x14ac:dyDescent="0.2">
      <c r="A13">
        <v>116.8</v>
      </c>
      <c r="D13">
        <v>157.55000000000001</v>
      </c>
    </row>
    <row r="14" spans="1:10" x14ac:dyDescent="0.2">
      <c r="A14">
        <v>118.47</v>
      </c>
      <c r="D14">
        <v>153.9</v>
      </c>
    </row>
    <row r="15" spans="1:10" x14ac:dyDescent="0.2">
      <c r="A15">
        <v>118.47</v>
      </c>
      <c r="D15">
        <v>153.9</v>
      </c>
    </row>
    <row r="16" spans="1:10" x14ac:dyDescent="0.2">
      <c r="A16">
        <v>118.14</v>
      </c>
      <c r="D16">
        <v>150.56</v>
      </c>
    </row>
    <row r="17" spans="1:4" x14ac:dyDescent="0.2">
      <c r="A17">
        <v>118.14</v>
      </c>
      <c r="D17">
        <v>150.56</v>
      </c>
    </row>
    <row r="18" spans="1:4" x14ac:dyDescent="0.2">
      <c r="A18">
        <v>117.04</v>
      </c>
      <c r="D18">
        <v>153.38</v>
      </c>
    </row>
    <row r="19" spans="1:4" x14ac:dyDescent="0.2">
      <c r="A19">
        <v>117.04</v>
      </c>
      <c r="D19">
        <v>153.38</v>
      </c>
    </row>
    <row r="20" spans="1:4" x14ac:dyDescent="0.2">
      <c r="A20">
        <v>123.52</v>
      </c>
      <c r="D20">
        <v>158.75</v>
      </c>
    </row>
    <row r="21" spans="1:4" x14ac:dyDescent="0.2">
      <c r="A21">
        <v>123.52</v>
      </c>
      <c r="D21">
        <v>150.47999999999999</v>
      </c>
    </row>
    <row r="22" spans="1:4" x14ac:dyDescent="0.2">
      <c r="A22">
        <v>126.1</v>
      </c>
      <c r="D22">
        <v>150.47999999999999</v>
      </c>
    </row>
    <row r="23" spans="1:4" x14ac:dyDescent="0.2">
      <c r="A23">
        <v>126.1</v>
      </c>
      <c r="D23">
        <v>150.68</v>
      </c>
    </row>
    <row r="24" spans="1:4" x14ac:dyDescent="0.2">
      <c r="A24">
        <v>117.9</v>
      </c>
      <c r="D24">
        <v>150.68</v>
      </c>
    </row>
    <row r="25" spans="1:4" x14ac:dyDescent="0.2">
      <c r="A25">
        <v>117.9</v>
      </c>
      <c r="D25">
        <v>149.12</v>
      </c>
    </row>
    <row r="26" spans="1:4" x14ac:dyDescent="0.2">
      <c r="A26">
        <v>122.35</v>
      </c>
      <c r="D26">
        <v>149.12</v>
      </c>
    </row>
    <row r="27" spans="1:4" x14ac:dyDescent="0.2">
      <c r="A27">
        <v>122.35</v>
      </c>
      <c r="D27">
        <v>153.88</v>
      </c>
    </row>
    <row r="28" spans="1:4" x14ac:dyDescent="0.2">
      <c r="A28">
        <v>120.26</v>
      </c>
      <c r="D28">
        <v>153.88</v>
      </c>
    </row>
    <row r="29" spans="1:4" x14ac:dyDescent="0.2">
      <c r="A29">
        <v>120.26</v>
      </c>
      <c r="D29">
        <v>157.65</v>
      </c>
    </row>
    <row r="30" spans="1:4" x14ac:dyDescent="0.2">
      <c r="A30">
        <v>117.85</v>
      </c>
      <c r="D30">
        <v>157.65</v>
      </c>
    </row>
    <row r="31" spans="1:4" x14ac:dyDescent="0.2">
      <c r="A31">
        <v>117.85</v>
      </c>
      <c r="D31">
        <v>154.18</v>
      </c>
    </row>
    <row r="32" spans="1:4" x14ac:dyDescent="0.2">
      <c r="A32">
        <v>121.32</v>
      </c>
      <c r="D32">
        <v>154.18</v>
      </c>
    </row>
    <row r="33" spans="1:4" x14ac:dyDescent="0.2">
      <c r="A33">
        <v>121.32</v>
      </c>
      <c r="D33">
        <v>154.32</v>
      </c>
    </row>
    <row r="34" spans="1:4" x14ac:dyDescent="0.2">
      <c r="A34">
        <v>126.19</v>
      </c>
      <c r="D34">
        <v>154.32</v>
      </c>
    </row>
    <row r="35" spans="1:4" x14ac:dyDescent="0.2">
      <c r="A35">
        <v>126.19</v>
      </c>
      <c r="D35">
        <v>154.06</v>
      </c>
    </row>
    <row r="36" spans="1:4" x14ac:dyDescent="0.2">
      <c r="A36">
        <v>116.97</v>
      </c>
      <c r="D36">
        <v>154.06</v>
      </c>
    </row>
    <row r="37" spans="1:4" x14ac:dyDescent="0.2">
      <c r="A37">
        <v>123.41</v>
      </c>
      <c r="D37">
        <v>153.15</v>
      </c>
    </row>
    <row r="38" spans="1:4" x14ac:dyDescent="0.2">
      <c r="A38">
        <v>123.41</v>
      </c>
      <c r="D38">
        <v>153.15</v>
      </c>
    </row>
    <row r="39" spans="1:4" x14ac:dyDescent="0.2">
      <c r="A39">
        <v>123.41</v>
      </c>
      <c r="D39">
        <v>152.88999999999999</v>
      </c>
    </row>
    <row r="40" spans="1:4" x14ac:dyDescent="0.2">
      <c r="A40">
        <v>126.47</v>
      </c>
      <c r="D40">
        <v>152.88999999999999</v>
      </c>
    </row>
    <row r="41" spans="1:4" x14ac:dyDescent="0.2">
      <c r="A41">
        <v>116.02</v>
      </c>
      <c r="D41">
        <v>150.78</v>
      </c>
    </row>
    <row r="42" spans="1:4" x14ac:dyDescent="0.2">
      <c r="A42">
        <v>116.02</v>
      </c>
      <c r="D42">
        <v>150.78</v>
      </c>
    </row>
    <row r="43" spans="1:4" x14ac:dyDescent="0.2">
      <c r="A43">
        <v>125.96</v>
      </c>
      <c r="D43">
        <v>150.71</v>
      </c>
    </row>
    <row r="44" spans="1:4" x14ac:dyDescent="0.2">
      <c r="A44">
        <v>125.96</v>
      </c>
      <c r="D44">
        <v>150.71</v>
      </c>
    </row>
    <row r="45" spans="1:4" x14ac:dyDescent="0.2">
      <c r="A45">
        <v>120.16</v>
      </c>
      <c r="D45">
        <v>153.31</v>
      </c>
    </row>
    <row r="46" spans="1:4" x14ac:dyDescent="0.2">
      <c r="A46">
        <v>120.16</v>
      </c>
      <c r="D46">
        <v>153.31</v>
      </c>
    </row>
    <row r="47" spans="1:4" x14ac:dyDescent="0.2">
      <c r="A47">
        <v>115.36</v>
      </c>
      <c r="D47">
        <v>155.04</v>
      </c>
    </row>
    <row r="48" spans="1:4" x14ac:dyDescent="0.2">
      <c r="A48">
        <v>115.36</v>
      </c>
      <c r="D48">
        <v>155.04</v>
      </c>
    </row>
    <row r="49" spans="1:4" x14ac:dyDescent="0.2">
      <c r="A49">
        <v>117.63</v>
      </c>
      <c r="D49">
        <v>155.97999999999999</v>
      </c>
    </row>
    <row r="50" spans="1:4" x14ac:dyDescent="0.2">
      <c r="A50">
        <v>117.63</v>
      </c>
      <c r="D50">
        <v>155.97999999999999</v>
      </c>
    </row>
    <row r="51" spans="1:4" x14ac:dyDescent="0.2">
      <c r="A51">
        <v>129.47999999999999</v>
      </c>
      <c r="D51">
        <v>157.80000000000001</v>
      </c>
    </row>
    <row r="52" spans="1:4" x14ac:dyDescent="0.2">
      <c r="A52">
        <v>129.47999999999999</v>
      </c>
      <c r="D52">
        <v>157.80000000000001</v>
      </c>
    </row>
    <row r="53" spans="1:4" x14ac:dyDescent="0.2">
      <c r="A53">
        <v>117.72</v>
      </c>
      <c r="D53">
        <v>152.76</v>
      </c>
    </row>
    <row r="54" spans="1:4" x14ac:dyDescent="0.2">
      <c r="A54">
        <v>117.72</v>
      </c>
      <c r="D54">
        <v>152.76</v>
      </c>
    </row>
    <row r="55" spans="1:4" x14ac:dyDescent="0.2">
      <c r="A55">
        <v>125.16</v>
      </c>
      <c r="D55">
        <v>151.76</v>
      </c>
    </row>
    <row r="56" spans="1:4" x14ac:dyDescent="0.2">
      <c r="A56">
        <v>125.16</v>
      </c>
      <c r="D56">
        <v>151.76</v>
      </c>
    </row>
    <row r="57" spans="1:4" x14ac:dyDescent="0.2">
      <c r="A57">
        <v>124.38</v>
      </c>
      <c r="D57">
        <v>154.16</v>
      </c>
    </row>
    <row r="58" spans="1:4" x14ac:dyDescent="0.2">
      <c r="A58">
        <v>124.38</v>
      </c>
      <c r="D58">
        <v>154.16</v>
      </c>
    </row>
    <row r="59" spans="1:4" x14ac:dyDescent="0.2">
      <c r="A59">
        <v>120.08</v>
      </c>
      <c r="D59">
        <v>152.6</v>
      </c>
    </row>
    <row r="60" spans="1:4" x14ac:dyDescent="0.2">
      <c r="A60">
        <v>120.08</v>
      </c>
      <c r="D60">
        <v>152.6</v>
      </c>
    </row>
    <row r="61" spans="1:4" x14ac:dyDescent="0.2">
      <c r="A61">
        <v>127.68</v>
      </c>
      <c r="D61">
        <v>151.1</v>
      </c>
    </row>
    <row r="62" spans="1:4" x14ac:dyDescent="0.2">
      <c r="A62">
        <v>127.68</v>
      </c>
      <c r="D62">
        <v>151.1</v>
      </c>
    </row>
    <row r="63" spans="1:4" x14ac:dyDescent="0.2">
      <c r="A63">
        <v>121.02</v>
      </c>
      <c r="D63">
        <v>159.59</v>
      </c>
    </row>
    <row r="64" spans="1:4" x14ac:dyDescent="0.2">
      <c r="A64">
        <v>121.02</v>
      </c>
      <c r="D64">
        <v>159.59</v>
      </c>
    </row>
    <row r="65" spans="1:4" x14ac:dyDescent="0.2">
      <c r="A65">
        <v>117.41</v>
      </c>
      <c r="D65">
        <v>157.53</v>
      </c>
    </row>
    <row r="66" spans="1:4" x14ac:dyDescent="0.2">
      <c r="A66">
        <v>117.41</v>
      </c>
      <c r="D66">
        <v>157.53</v>
      </c>
    </row>
    <row r="67" spans="1:4" x14ac:dyDescent="0.2">
      <c r="A67">
        <v>118.75</v>
      </c>
      <c r="D67">
        <v>156.27000000000001</v>
      </c>
    </row>
    <row r="68" spans="1:4" x14ac:dyDescent="0.2">
      <c r="A68">
        <v>118.75</v>
      </c>
      <c r="D68">
        <v>156.27000000000001</v>
      </c>
    </row>
    <row r="69" spans="1:4" x14ac:dyDescent="0.2">
      <c r="A69">
        <v>120.8</v>
      </c>
      <c r="D69">
        <v>152.38999999999999</v>
      </c>
    </row>
    <row r="70" spans="1:4" x14ac:dyDescent="0.2">
      <c r="A70">
        <v>120.8</v>
      </c>
      <c r="D70">
        <v>152.38999999999999</v>
      </c>
    </row>
    <row r="71" spans="1:4" x14ac:dyDescent="0.2">
      <c r="A71">
        <v>121.36</v>
      </c>
      <c r="D71">
        <v>150.78</v>
      </c>
    </row>
    <row r="72" spans="1:4" x14ac:dyDescent="0.2">
      <c r="A72">
        <v>121.36</v>
      </c>
      <c r="D72">
        <v>150.78</v>
      </c>
    </row>
    <row r="73" spans="1:4" x14ac:dyDescent="0.2">
      <c r="A73">
        <v>124.82</v>
      </c>
      <c r="D73">
        <v>152.93</v>
      </c>
    </row>
    <row r="74" spans="1:4" x14ac:dyDescent="0.2">
      <c r="A74">
        <v>124.82</v>
      </c>
      <c r="D74">
        <v>152.93</v>
      </c>
    </row>
    <row r="75" spans="1:4" x14ac:dyDescent="0.2">
      <c r="A75">
        <v>127.44</v>
      </c>
      <c r="D75">
        <v>154.30000000000001</v>
      </c>
    </row>
    <row r="76" spans="1:4" x14ac:dyDescent="0.2">
      <c r="A76">
        <v>127.44</v>
      </c>
      <c r="D76">
        <v>154.30000000000001</v>
      </c>
    </row>
    <row r="77" spans="1:4" x14ac:dyDescent="0.2">
      <c r="A77">
        <v>117.91</v>
      </c>
      <c r="D77">
        <v>152.58000000000001</v>
      </c>
    </row>
    <row r="78" spans="1:4" x14ac:dyDescent="0.2">
      <c r="A78">
        <v>117.91</v>
      </c>
      <c r="D78">
        <v>152.58000000000001</v>
      </c>
    </row>
    <row r="79" spans="1:4" x14ac:dyDescent="0.2">
      <c r="A79">
        <v>120.15</v>
      </c>
      <c r="D79">
        <v>153.76</v>
      </c>
    </row>
    <row r="80" spans="1:4" x14ac:dyDescent="0.2">
      <c r="A80">
        <v>120.15</v>
      </c>
      <c r="D80">
        <v>153.76</v>
      </c>
    </row>
    <row r="81" spans="1:4" x14ac:dyDescent="0.2">
      <c r="A81">
        <v>117.68</v>
      </c>
      <c r="D81">
        <v>156.80000000000001</v>
      </c>
    </row>
    <row r="82" spans="1:4" x14ac:dyDescent="0.2">
      <c r="A82">
        <v>117.68</v>
      </c>
      <c r="D82">
        <v>156.80000000000001</v>
      </c>
    </row>
    <row r="83" spans="1:4" x14ac:dyDescent="0.2">
      <c r="A83">
        <v>114.99</v>
      </c>
      <c r="D83">
        <v>153.62</v>
      </c>
    </row>
    <row r="84" spans="1:4" x14ac:dyDescent="0.2">
      <c r="A84">
        <v>114.99</v>
      </c>
      <c r="D84">
        <v>153.62</v>
      </c>
    </row>
    <row r="85" spans="1:4" x14ac:dyDescent="0.2">
      <c r="A85">
        <v>117.36</v>
      </c>
      <c r="D85">
        <v>150.09</v>
      </c>
    </row>
    <row r="86" spans="1:4" x14ac:dyDescent="0.2">
      <c r="A86">
        <v>117.36</v>
      </c>
      <c r="D86">
        <v>150.09</v>
      </c>
    </row>
    <row r="87" spans="1:4" x14ac:dyDescent="0.2">
      <c r="A87">
        <v>127.17</v>
      </c>
      <c r="D87">
        <v>152.30000000000001</v>
      </c>
    </row>
    <row r="88" spans="1:4" x14ac:dyDescent="0.2">
      <c r="A88">
        <v>127.17</v>
      </c>
      <c r="D88">
        <v>152.30000000000001</v>
      </c>
    </row>
    <row r="89" spans="1:4" x14ac:dyDescent="0.2">
      <c r="A89">
        <v>117.38</v>
      </c>
      <c r="D89">
        <v>151.55000000000001</v>
      </c>
    </row>
    <row r="90" spans="1:4" x14ac:dyDescent="0.2">
      <c r="A90">
        <v>117.38</v>
      </c>
      <c r="D90">
        <v>151.55000000000001</v>
      </c>
    </row>
    <row r="91" spans="1:4" x14ac:dyDescent="0.2">
      <c r="A91">
        <v>115.93</v>
      </c>
      <c r="D91">
        <v>150.13</v>
      </c>
    </row>
    <row r="92" spans="1:4" x14ac:dyDescent="0.2">
      <c r="A92">
        <v>115.93</v>
      </c>
      <c r="D92">
        <v>150.13</v>
      </c>
    </row>
    <row r="93" spans="1:4" x14ac:dyDescent="0.2">
      <c r="A93">
        <v>115.62</v>
      </c>
      <c r="D93">
        <v>150.80000000000001</v>
      </c>
    </row>
    <row r="94" spans="1:4" x14ac:dyDescent="0.2">
      <c r="A94">
        <v>115.62</v>
      </c>
      <c r="D94">
        <v>150.80000000000001</v>
      </c>
    </row>
    <row r="95" spans="1:4" x14ac:dyDescent="0.2">
      <c r="A95">
        <v>116.94</v>
      </c>
      <c r="D95">
        <v>160.30000000000001</v>
      </c>
    </row>
    <row r="96" spans="1:4" x14ac:dyDescent="0.2">
      <c r="A96">
        <v>116.94</v>
      </c>
      <c r="D96">
        <v>160.30000000000001</v>
      </c>
    </row>
    <row r="97" spans="1:4" x14ac:dyDescent="0.2">
      <c r="A97">
        <v>119.56</v>
      </c>
      <c r="D97">
        <v>162.79</v>
      </c>
    </row>
    <row r="98" spans="1:4" x14ac:dyDescent="0.2">
      <c r="A98">
        <v>119.56</v>
      </c>
      <c r="D98">
        <v>162.79</v>
      </c>
    </row>
    <row r="99" spans="1:4" x14ac:dyDescent="0.2">
      <c r="A99">
        <v>120.45</v>
      </c>
      <c r="D99">
        <v>155.41999999999999</v>
      </c>
    </row>
    <row r="100" spans="1:4" x14ac:dyDescent="0.2">
      <c r="A100">
        <v>120.45</v>
      </c>
      <c r="D100">
        <v>155.41999999999999</v>
      </c>
    </row>
    <row r="101" spans="1:4" x14ac:dyDescent="0.2">
      <c r="A101">
        <v>126.82</v>
      </c>
      <c r="D101">
        <v>151.38</v>
      </c>
    </row>
    <row r="102" spans="1:4" x14ac:dyDescent="0.2">
      <c r="A102">
        <v>126.82</v>
      </c>
      <c r="D102">
        <v>151.38</v>
      </c>
    </row>
    <row r="103" spans="1:4" x14ac:dyDescent="0.2">
      <c r="A103">
        <v>117.77</v>
      </c>
      <c r="D103">
        <v>150.93</v>
      </c>
    </row>
    <row r="104" spans="1:4" x14ac:dyDescent="0.2">
      <c r="A104">
        <v>117.77</v>
      </c>
      <c r="D104">
        <v>150.93</v>
      </c>
    </row>
    <row r="105" spans="1:4" x14ac:dyDescent="0.2">
      <c r="A105">
        <v>117.64</v>
      </c>
      <c r="D105">
        <v>149.38</v>
      </c>
    </row>
    <row r="106" spans="1:4" x14ac:dyDescent="0.2">
      <c r="A106">
        <v>117.64</v>
      </c>
      <c r="D106">
        <v>149.38</v>
      </c>
    </row>
    <row r="107" spans="1:4" x14ac:dyDescent="0.2">
      <c r="A107">
        <v>129.88</v>
      </c>
      <c r="D107">
        <v>154.35</v>
      </c>
    </row>
    <row r="108" spans="1:4" x14ac:dyDescent="0.2">
      <c r="A108">
        <v>129.88</v>
      </c>
      <c r="D108">
        <v>154.35</v>
      </c>
    </row>
    <row r="109" spans="1:4" x14ac:dyDescent="0.2">
      <c r="A109">
        <v>116.82</v>
      </c>
      <c r="D109">
        <v>150.66</v>
      </c>
    </row>
    <row r="110" spans="1:4" x14ac:dyDescent="0.2">
      <c r="A110">
        <v>116.82</v>
      </c>
      <c r="D110">
        <v>150.66</v>
      </c>
    </row>
    <row r="111" spans="1:4" x14ac:dyDescent="0.2">
      <c r="A111">
        <v>115.7</v>
      </c>
      <c r="D111">
        <v>150.87</v>
      </c>
    </row>
    <row r="112" spans="1:4" x14ac:dyDescent="0.2">
      <c r="A112">
        <v>115.7</v>
      </c>
      <c r="D112">
        <v>150.87</v>
      </c>
    </row>
    <row r="113" spans="1:4" x14ac:dyDescent="0.2">
      <c r="A113">
        <v>121.61</v>
      </c>
      <c r="D113">
        <v>159.49</v>
      </c>
    </row>
    <row r="114" spans="1:4" x14ac:dyDescent="0.2">
      <c r="A114">
        <v>121.61</v>
      </c>
      <c r="D114">
        <v>159.49</v>
      </c>
    </row>
    <row r="115" spans="1:4" x14ac:dyDescent="0.2">
      <c r="A115">
        <v>113.45</v>
      </c>
      <c r="D115">
        <v>156.69999999999999</v>
      </c>
    </row>
    <row r="116" spans="1:4" x14ac:dyDescent="0.2">
      <c r="A116">
        <v>113.45</v>
      </c>
      <c r="D116">
        <v>156.69999999999999</v>
      </c>
    </row>
    <row r="117" spans="1:4" x14ac:dyDescent="0.2">
      <c r="A117">
        <v>123.99</v>
      </c>
      <c r="D117">
        <v>152.08000000000001</v>
      </c>
    </row>
    <row r="118" spans="1:4" x14ac:dyDescent="0.2">
      <c r="A118">
        <v>123.99</v>
      </c>
      <c r="D118">
        <v>152.08000000000001</v>
      </c>
    </row>
    <row r="119" spans="1:4" x14ac:dyDescent="0.2">
      <c r="A119">
        <v>126.71</v>
      </c>
      <c r="D119">
        <v>156.66999999999999</v>
      </c>
    </row>
    <row r="120" spans="1:4" x14ac:dyDescent="0.2">
      <c r="A120">
        <v>126.71</v>
      </c>
      <c r="D120">
        <v>156.66999999999999</v>
      </c>
    </row>
    <row r="121" spans="1:4" x14ac:dyDescent="0.2">
      <c r="A121">
        <v>117.86</v>
      </c>
      <c r="D121">
        <v>151.1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F87E1-942B-4E40-976E-C4A5B46D192D}">
  <dimension ref="A1:J121"/>
  <sheetViews>
    <sheetView workbookViewId="0">
      <selection activeCell="A2" sqref="A2"/>
    </sheetView>
  </sheetViews>
  <sheetFormatPr baseColWidth="10" defaultRowHeight="16" x14ac:dyDescent="0.2"/>
  <cols>
    <col min="1" max="1" width="16.5" bestFit="1" customWidth="1"/>
  </cols>
  <sheetData>
    <row r="1" spans="1:10" x14ac:dyDescent="0.2">
      <c r="A1" t="s">
        <v>32</v>
      </c>
      <c r="B1" t="s">
        <v>28</v>
      </c>
      <c r="C1" t="s">
        <v>11</v>
      </c>
      <c r="D1" t="s">
        <v>6</v>
      </c>
      <c r="E1" s="1" t="s">
        <v>9</v>
      </c>
      <c r="F1" t="s">
        <v>0</v>
      </c>
      <c r="G1" t="s">
        <v>8</v>
      </c>
      <c r="H1" t="s">
        <v>14</v>
      </c>
      <c r="I1" t="s">
        <v>24</v>
      </c>
      <c r="J1" t="s">
        <v>23</v>
      </c>
    </row>
    <row r="2" spans="1:10" x14ac:dyDescent="0.2">
      <c r="A2">
        <v>119.9</v>
      </c>
      <c r="B2" t="s">
        <v>17</v>
      </c>
      <c r="C2" t="s">
        <v>17</v>
      </c>
      <c r="D2">
        <v>121.81</v>
      </c>
      <c r="E2" t="s">
        <v>17</v>
      </c>
      <c r="F2" t="s">
        <v>1</v>
      </c>
      <c r="G2">
        <f>AVERAGE(A:A)</f>
        <v>123.00025000000005</v>
      </c>
      <c r="H2">
        <v>25</v>
      </c>
      <c r="I2">
        <f t="shared" ref="I2:I5" si="0">G2-H2</f>
        <v>98.000250000000051</v>
      </c>
      <c r="J2">
        <f>13+I2</f>
        <v>111.00025000000005</v>
      </c>
    </row>
    <row r="3" spans="1:10" x14ac:dyDescent="0.2">
      <c r="A3">
        <v>119.9</v>
      </c>
      <c r="D3">
        <v>121.81</v>
      </c>
      <c r="F3" t="s">
        <v>3</v>
      </c>
      <c r="G3" t="s">
        <v>17</v>
      </c>
      <c r="H3" t="s">
        <v>17</v>
      </c>
      <c r="I3" t="s">
        <v>17</v>
      </c>
      <c r="J3" t="s">
        <v>17</v>
      </c>
    </row>
    <row r="4" spans="1:10" x14ac:dyDescent="0.2">
      <c r="A4">
        <v>119.54</v>
      </c>
      <c r="D4">
        <v>129.4</v>
      </c>
      <c r="F4" t="s">
        <v>2</v>
      </c>
      <c r="G4" t="s">
        <v>17</v>
      </c>
      <c r="H4" t="s">
        <v>17</v>
      </c>
      <c r="I4" t="s">
        <v>17</v>
      </c>
      <c r="J4" t="s">
        <v>17</v>
      </c>
    </row>
    <row r="5" spans="1:10" x14ac:dyDescent="0.2">
      <c r="A5">
        <v>119.54</v>
      </c>
      <c r="D5">
        <v>129.4</v>
      </c>
      <c r="F5" t="s">
        <v>4</v>
      </c>
      <c r="G5">
        <f>AVERAGE(D:D)</f>
        <v>124.08866666666667</v>
      </c>
      <c r="H5">
        <f>AVERAGE(25,26)</f>
        <v>25.5</v>
      </c>
      <c r="I5">
        <f t="shared" si="0"/>
        <v>98.588666666666668</v>
      </c>
      <c r="J5">
        <f>13+I5</f>
        <v>111.58866666666667</v>
      </c>
    </row>
    <row r="6" spans="1:10" x14ac:dyDescent="0.2">
      <c r="A6">
        <v>129.93</v>
      </c>
      <c r="D6">
        <v>118.66</v>
      </c>
      <c r="F6" t="s">
        <v>5</v>
      </c>
      <c r="G6" t="s">
        <v>17</v>
      </c>
      <c r="H6" t="s">
        <v>17</v>
      </c>
      <c r="I6" t="s">
        <v>17</v>
      </c>
      <c r="J6" t="s">
        <v>17</v>
      </c>
    </row>
    <row r="7" spans="1:10" x14ac:dyDescent="0.2">
      <c r="A7">
        <v>129.93</v>
      </c>
      <c r="D7">
        <v>118.66</v>
      </c>
    </row>
    <row r="8" spans="1:10" x14ac:dyDescent="0.2">
      <c r="A8">
        <v>130.96</v>
      </c>
      <c r="D8">
        <v>121.48</v>
      </c>
    </row>
    <row r="9" spans="1:10" x14ac:dyDescent="0.2">
      <c r="A9">
        <v>130.96</v>
      </c>
      <c r="D9">
        <v>121.48</v>
      </c>
    </row>
    <row r="10" spans="1:10" x14ac:dyDescent="0.2">
      <c r="A10">
        <v>120.71</v>
      </c>
      <c r="D10">
        <v>132</v>
      </c>
    </row>
    <row r="11" spans="1:10" x14ac:dyDescent="0.2">
      <c r="A11">
        <v>120.71</v>
      </c>
      <c r="D11">
        <v>132</v>
      </c>
    </row>
    <row r="12" spans="1:10" x14ac:dyDescent="0.2">
      <c r="A12">
        <v>123.38</v>
      </c>
      <c r="D12">
        <v>120.21</v>
      </c>
    </row>
    <row r="13" spans="1:10" x14ac:dyDescent="0.2">
      <c r="A13">
        <v>123.38</v>
      </c>
      <c r="D13">
        <v>120.21</v>
      </c>
    </row>
    <row r="14" spans="1:10" x14ac:dyDescent="0.2">
      <c r="A14">
        <v>121.86</v>
      </c>
      <c r="D14">
        <v>126.52</v>
      </c>
    </row>
    <row r="15" spans="1:10" x14ac:dyDescent="0.2">
      <c r="A15">
        <v>121.86</v>
      </c>
      <c r="D15">
        <v>126.52</v>
      </c>
    </row>
    <row r="16" spans="1:10" x14ac:dyDescent="0.2">
      <c r="A16">
        <v>119.98</v>
      </c>
      <c r="D16">
        <v>122.28</v>
      </c>
    </row>
    <row r="17" spans="1:4" x14ac:dyDescent="0.2">
      <c r="A17">
        <v>119.98</v>
      </c>
      <c r="D17">
        <v>122.28</v>
      </c>
    </row>
    <row r="18" spans="1:4" x14ac:dyDescent="0.2">
      <c r="A18">
        <v>122.98</v>
      </c>
      <c r="D18">
        <v>119.16</v>
      </c>
    </row>
    <row r="19" spans="1:4" x14ac:dyDescent="0.2">
      <c r="A19">
        <v>122.98</v>
      </c>
      <c r="D19">
        <v>119.16</v>
      </c>
    </row>
    <row r="20" spans="1:4" x14ac:dyDescent="0.2">
      <c r="A20">
        <v>125.08</v>
      </c>
      <c r="D20">
        <v>123.64</v>
      </c>
    </row>
    <row r="21" spans="1:4" x14ac:dyDescent="0.2">
      <c r="A21">
        <v>125.08</v>
      </c>
      <c r="D21">
        <v>123.64</v>
      </c>
    </row>
    <row r="22" spans="1:4" x14ac:dyDescent="0.2">
      <c r="A22">
        <v>130.35</v>
      </c>
      <c r="D22">
        <v>131.01</v>
      </c>
    </row>
    <row r="23" spans="1:4" x14ac:dyDescent="0.2">
      <c r="A23">
        <v>130.35</v>
      </c>
      <c r="D23">
        <v>131.01</v>
      </c>
    </row>
    <row r="24" spans="1:4" x14ac:dyDescent="0.2">
      <c r="A24">
        <v>127.74</v>
      </c>
      <c r="D24">
        <v>126.25</v>
      </c>
    </row>
    <row r="25" spans="1:4" x14ac:dyDescent="0.2">
      <c r="A25">
        <v>127.74</v>
      </c>
      <c r="D25">
        <v>126.25</v>
      </c>
    </row>
    <row r="26" spans="1:4" x14ac:dyDescent="0.2">
      <c r="A26">
        <v>122.15</v>
      </c>
      <c r="D26">
        <v>120.78</v>
      </c>
    </row>
    <row r="27" spans="1:4" x14ac:dyDescent="0.2">
      <c r="A27">
        <v>122.15</v>
      </c>
      <c r="D27">
        <v>120.78</v>
      </c>
    </row>
    <row r="28" spans="1:4" x14ac:dyDescent="0.2">
      <c r="A28">
        <v>120.05</v>
      </c>
      <c r="D28">
        <v>123.32</v>
      </c>
    </row>
    <row r="29" spans="1:4" x14ac:dyDescent="0.2">
      <c r="A29">
        <v>120.05</v>
      </c>
      <c r="D29">
        <v>123.32</v>
      </c>
    </row>
    <row r="30" spans="1:4" x14ac:dyDescent="0.2">
      <c r="A30">
        <v>122.03</v>
      </c>
      <c r="D30">
        <v>119.64</v>
      </c>
    </row>
    <row r="31" spans="1:4" x14ac:dyDescent="0.2">
      <c r="A31">
        <v>122.03</v>
      </c>
      <c r="D31">
        <v>119.64</v>
      </c>
    </row>
    <row r="32" spans="1:4" x14ac:dyDescent="0.2">
      <c r="A32">
        <v>121.71</v>
      </c>
      <c r="D32">
        <v>128.83000000000001</v>
      </c>
    </row>
    <row r="33" spans="1:4" x14ac:dyDescent="0.2">
      <c r="A33">
        <v>121.71</v>
      </c>
      <c r="D33">
        <v>128.83000000000001</v>
      </c>
    </row>
    <row r="34" spans="1:4" x14ac:dyDescent="0.2">
      <c r="A34">
        <v>120.04</v>
      </c>
      <c r="D34">
        <v>124.57</v>
      </c>
    </row>
    <row r="35" spans="1:4" x14ac:dyDescent="0.2">
      <c r="A35">
        <v>120.04</v>
      </c>
      <c r="D35">
        <v>124.57</v>
      </c>
    </row>
    <row r="36" spans="1:4" x14ac:dyDescent="0.2">
      <c r="A36">
        <v>119.39</v>
      </c>
      <c r="D36">
        <v>119.85</v>
      </c>
    </row>
    <row r="37" spans="1:4" x14ac:dyDescent="0.2">
      <c r="A37">
        <v>119.39</v>
      </c>
      <c r="D37">
        <v>119.85</v>
      </c>
    </row>
    <row r="38" spans="1:4" x14ac:dyDescent="0.2">
      <c r="A38">
        <v>126.07</v>
      </c>
      <c r="D38">
        <v>120.78</v>
      </c>
    </row>
    <row r="39" spans="1:4" x14ac:dyDescent="0.2">
      <c r="A39">
        <v>126.07</v>
      </c>
      <c r="D39">
        <v>120.78</v>
      </c>
    </row>
    <row r="40" spans="1:4" x14ac:dyDescent="0.2">
      <c r="A40">
        <v>133.18</v>
      </c>
      <c r="D40">
        <v>121.8</v>
      </c>
    </row>
    <row r="41" spans="1:4" x14ac:dyDescent="0.2">
      <c r="A41">
        <v>133.18</v>
      </c>
      <c r="D41">
        <v>121.8</v>
      </c>
    </row>
    <row r="42" spans="1:4" x14ac:dyDescent="0.2">
      <c r="A42">
        <v>125.77</v>
      </c>
      <c r="D42">
        <v>127.33</v>
      </c>
    </row>
    <row r="43" spans="1:4" x14ac:dyDescent="0.2">
      <c r="A43">
        <v>125.77</v>
      </c>
      <c r="D43">
        <v>127.33</v>
      </c>
    </row>
    <row r="44" spans="1:4" x14ac:dyDescent="0.2">
      <c r="A44">
        <v>123.8</v>
      </c>
      <c r="D44">
        <v>121.67</v>
      </c>
    </row>
    <row r="45" spans="1:4" x14ac:dyDescent="0.2">
      <c r="A45">
        <v>123.8</v>
      </c>
      <c r="D45">
        <v>121.67</v>
      </c>
    </row>
    <row r="46" spans="1:4" x14ac:dyDescent="0.2">
      <c r="A46">
        <v>120.72</v>
      </c>
      <c r="D46">
        <v>126</v>
      </c>
    </row>
    <row r="47" spans="1:4" x14ac:dyDescent="0.2">
      <c r="A47">
        <v>120.72</v>
      </c>
      <c r="D47">
        <v>126</v>
      </c>
    </row>
    <row r="48" spans="1:4" x14ac:dyDescent="0.2">
      <c r="A48">
        <v>120.28</v>
      </c>
      <c r="D48">
        <v>120.61</v>
      </c>
    </row>
    <row r="49" spans="1:4" x14ac:dyDescent="0.2">
      <c r="A49">
        <v>120.28</v>
      </c>
      <c r="D49">
        <v>120.61</v>
      </c>
    </row>
    <row r="50" spans="1:4" x14ac:dyDescent="0.2">
      <c r="A50">
        <v>121.89</v>
      </c>
      <c r="D50">
        <v>120.71</v>
      </c>
    </row>
    <row r="51" spans="1:4" x14ac:dyDescent="0.2">
      <c r="A51">
        <v>121.89</v>
      </c>
      <c r="D51">
        <v>120.71</v>
      </c>
    </row>
    <row r="52" spans="1:4" x14ac:dyDescent="0.2">
      <c r="A52">
        <v>121.16</v>
      </c>
      <c r="D52">
        <v>125.57</v>
      </c>
    </row>
    <row r="53" spans="1:4" x14ac:dyDescent="0.2">
      <c r="A53">
        <v>121.16</v>
      </c>
      <c r="D53">
        <v>125.57</v>
      </c>
    </row>
    <row r="54" spans="1:4" x14ac:dyDescent="0.2">
      <c r="A54">
        <v>119.11</v>
      </c>
      <c r="D54">
        <v>120.92</v>
      </c>
    </row>
    <row r="55" spans="1:4" x14ac:dyDescent="0.2">
      <c r="A55">
        <v>119.11</v>
      </c>
      <c r="D55">
        <v>120.92</v>
      </c>
    </row>
    <row r="56" spans="1:4" x14ac:dyDescent="0.2">
      <c r="A56">
        <v>130.38</v>
      </c>
      <c r="D56">
        <v>127.28</v>
      </c>
    </row>
    <row r="57" spans="1:4" x14ac:dyDescent="0.2">
      <c r="A57">
        <v>130.38</v>
      </c>
      <c r="D57">
        <v>127.28</v>
      </c>
    </row>
    <row r="58" spans="1:4" x14ac:dyDescent="0.2">
      <c r="A58">
        <v>123.52</v>
      </c>
      <c r="D58">
        <v>122.84</v>
      </c>
    </row>
    <row r="59" spans="1:4" x14ac:dyDescent="0.2">
      <c r="A59">
        <v>123.52</v>
      </c>
      <c r="D59">
        <v>122.84</v>
      </c>
    </row>
    <row r="60" spans="1:4" x14ac:dyDescent="0.2">
      <c r="A60">
        <v>119.29</v>
      </c>
      <c r="D60">
        <v>121.74</v>
      </c>
    </row>
    <row r="61" spans="1:4" x14ac:dyDescent="0.2">
      <c r="A61">
        <v>119.29</v>
      </c>
      <c r="D61">
        <v>121.74</v>
      </c>
    </row>
    <row r="62" spans="1:4" x14ac:dyDescent="0.2">
      <c r="A62">
        <v>122.06</v>
      </c>
      <c r="D62">
        <v>123.78</v>
      </c>
    </row>
    <row r="63" spans="1:4" x14ac:dyDescent="0.2">
      <c r="A63">
        <v>122.06</v>
      </c>
      <c r="D63">
        <v>123.78</v>
      </c>
    </row>
    <row r="64" spans="1:4" x14ac:dyDescent="0.2">
      <c r="A64">
        <v>121.55</v>
      </c>
      <c r="D64">
        <v>120.97</v>
      </c>
    </row>
    <row r="65" spans="1:4" x14ac:dyDescent="0.2">
      <c r="A65">
        <v>121.55</v>
      </c>
      <c r="D65">
        <v>120.97</v>
      </c>
    </row>
    <row r="66" spans="1:4" x14ac:dyDescent="0.2">
      <c r="A66">
        <v>119.17</v>
      </c>
      <c r="D66">
        <v>119.64</v>
      </c>
    </row>
    <row r="67" spans="1:4" x14ac:dyDescent="0.2">
      <c r="A67">
        <v>119.17</v>
      </c>
      <c r="D67">
        <v>119.64</v>
      </c>
    </row>
    <row r="68" spans="1:4" x14ac:dyDescent="0.2">
      <c r="A68">
        <v>121.81</v>
      </c>
      <c r="D68">
        <v>122.52</v>
      </c>
    </row>
    <row r="69" spans="1:4" x14ac:dyDescent="0.2">
      <c r="A69">
        <v>121.81</v>
      </c>
      <c r="D69">
        <v>122.52</v>
      </c>
    </row>
    <row r="70" spans="1:4" x14ac:dyDescent="0.2">
      <c r="A70">
        <v>122.25</v>
      </c>
      <c r="D70">
        <v>124.98</v>
      </c>
    </row>
    <row r="71" spans="1:4" x14ac:dyDescent="0.2">
      <c r="A71">
        <v>122.25</v>
      </c>
      <c r="D71">
        <v>124.98</v>
      </c>
    </row>
    <row r="72" spans="1:4" x14ac:dyDescent="0.2">
      <c r="A72">
        <v>129.01</v>
      </c>
      <c r="D72">
        <v>124.35</v>
      </c>
    </row>
    <row r="73" spans="1:4" x14ac:dyDescent="0.2">
      <c r="A73">
        <v>129.01</v>
      </c>
      <c r="D73">
        <v>124.35</v>
      </c>
    </row>
    <row r="74" spans="1:4" x14ac:dyDescent="0.2">
      <c r="A74">
        <v>132.58000000000001</v>
      </c>
      <c r="D74">
        <v>122.25</v>
      </c>
    </row>
    <row r="75" spans="1:4" x14ac:dyDescent="0.2">
      <c r="A75">
        <v>132.58000000000001</v>
      </c>
      <c r="D75">
        <v>122.25</v>
      </c>
    </row>
    <row r="76" spans="1:4" x14ac:dyDescent="0.2">
      <c r="A76">
        <v>122.05</v>
      </c>
      <c r="D76">
        <v>120.22</v>
      </c>
    </row>
    <row r="77" spans="1:4" x14ac:dyDescent="0.2">
      <c r="A77">
        <v>122.05</v>
      </c>
      <c r="D77">
        <v>120.22</v>
      </c>
    </row>
    <row r="78" spans="1:4" x14ac:dyDescent="0.2">
      <c r="A78">
        <v>119.63</v>
      </c>
      <c r="D78">
        <v>120.09</v>
      </c>
    </row>
    <row r="79" spans="1:4" x14ac:dyDescent="0.2">
      <c r="A79">
        <v>119.63</v>
      </c>
      <c r="D79">
        <v>120.09</v>
      </c>
    </row>
    <row r="80" spans="1:4" x14ac:dyDescent="0.2">
      <c r="A80">
        <v>120.44</v>
      </c>
      <c r="D80">
        <v>123.85</v>
      </c>
    </row>
    <row r="81" spans="1:4" x14ac:dyDescent="0.2">
      <c r="A81">
        <v>120.44</v>
      </c>
      <c r="D81">
        <v>123.85</v>
      </c>
    </row>
    <row r="82" spans="1:4" x14ac:dyDescent="0.2">
      <c r="A82">
        <v>119.42</v>
      </c>
      <c r="D82">
        <v>122.56</v>
      </c>
    </row>
    <row r="83" spans="1:4" x14ac:dyDescent="0.2">
      <c r="A83">
        <v>119.42</v>
      </c>
      <c r="D83">
        <v>122.56</v>
      </c>
    </row>
    <row r="84" spans="1:4" x14ac:dyDescent="0.2">
      <c r="A84">
        <v>118.41</v>
      </c>
      <c r="D84">
        <v>127.85</v>
      </c>
    </row>
    <row r="85" spans="1:4" x14ac:dyDescent="0.2">
      <c r="A85">
        <v>118.41</v>
      </c>
      <c r="D85">
        <v>127.85</v>
      </c>
    </row>
    <row r="86" spans="1:4" x14ac:dyDescent="0.2">
      <c r="A86">
        <v>121.21</v>
      </c>
      <c r="D86">
        <v>130.72999999999999</v>
      </c>
    </row>
    <row r="87" spans="1:4" x14ac:dyDescent="0.2">
      <c r="A87">
        <v>124.68</v>
      </c>
      <c r="D87">
        <v>130.72999999999999</v>
      </c>
    </row>
    <row r="88" spans="1:4" x14ac:dyDescent="0.2">
      <c r="A88">
        <v>124.68</v>
      </c>
      <c r="D88">
        <v>123.61</v>
      </c>
    </row>
    <row r="89" spans="1:4" x14ac:dyDescent="0.2">
      <c r="A89">
        <v>124.68</v>
      </c>
      <c r="D89">
        <v>123.61</v>
      </c>
    </row>
    <row r="90" spans="1:4" x14ac:dyDescent="0.2">
      <c r="A90">
        <v>128.34</v>
      </c>
      <c r="D90">
        <v>126.51</v>
      </c>
    </row>
    <row r="91" spans="1:4" x14ac:dyDescent="0.2">
      <c r="A91">
        <v>120.05</v>
      </c>
      <c r="D91">
        <v>126.51</v>
      </c>
    </row>
    <row r="92" spans="1:4" x14ac:dyDescent="0.2">
      <c r="A92">
        <v>120.05</v>
      </c>
      <c r="D92">
        <v>122.71</v>
      </c>
    </row>
    <row r="93" spans="1:4" x14ac:dyDescent="0.2">
      <c r="A93">
        <v>119.67</v>
      </c>
      <c r="D93">
        <v>122.71</v>
      </c>
    </row>
    <row r="94" spans="1:4" x14ac:dyDescent="0.2">
      <c r="A94">
        <v>119.67</v>
      </c>
      <c r="D94">
        <v>123.06</v>
      </c>
    </row>
    <row r="95" spans="1:4" x14ac:dyDescent="0.2">
      <c r="A95">
        <v>119.45</v>
      </c>
      <c r="D95">
        <v>123.06</v>
      </c>
    </row>
    <row r="96" spans="1:4" x14ac:dyDescent="0.2">
      <c r="A96">
        <v>119.45</v>
      </c>
      <c r="D96">
        <v>123.87</v>
      </c>
    </row>
    <row r="97" spans="1:4" x14ac:dyDescent="0.2">
      <c r="A97">
        <v>120.83</v>
      </c>
      <c r="D97">
        <v>123.87</v>
      </c>
    </row>
    <row r="98" spans="1:4" x14ac:dyDescent="0.2">
      <c r="A98">
        <v>120.83</v>
      </c>
      <c r="D98">
        <v>130.19</v>
      </c>
    </row>
    <row r="99" spans="1:4" x14ac:dyDescent="0.2">
      <c r="A99">
        <v>119.7</v>
      </c>
      <c r="D99">
        <v>130.19</v>
      </c>
    </row>
    <row r="100" spans="1:4" x14ac:dyDescent="0.2">
      <c r="A100">
        <v>119.7</v>
      </c>
      <c r="D100">
        <v>122.93</v>
      </c>
    </row>
    <row r="101" spans="1:4" x14ac:dyDescent="0.2">
      <c r="A101">
        <v>122.85</v>
      </c>
      <c r="D101">
        <v>122.93</v>
      </c>
    </row>
    <row r="102" spans="1:4" x14ac:dyDescent="0.2">
      <c r="A102">
        <v>122.85</v>
      </c>
      <c r="D102">
        <v>128.03</v>
      </c>
    </row>
    <row r="103" spans="1:4" x14ac:dyDescent="0.2">
      <c r="A103">
        <v>125.59</v>
      </c>
      <c r="D103">
        <v>128.03</v>
      </c>
    </row>
    <row r="104" spans="1:4" x14ac:dyDescent="0.2">
      <c r="A104">
        <v>125.59</v>
      </c>
      <c r="D104">
        <v>131.30000000000001</v>
      </c>
    </row>
    <row r="105" spans="1:4" x14ac:dyDescent="0.2">
      <c r="A105">
        <v>133.33000000000001</v>
      </c>
      <c r="D105">
        <v>131.30000000000001</v>
      </c>
    </row>
    <row r="106" spans="1:4" x14ac:dyDescent="0.2">
      <c r="A106">
        <v>133.33000000000001</v>
      </c>
      <c r="D106">
        <v>122.92</v>
      </c>
    </row>
    <row r="107" spans="1:4" x14ac:dyDescent="0.2">
      <c r="A107">
        <v>127.14</v>
      </c>
      <c r="D107">
        <v>122.92</v>
      </c>
    </row>
    <row r="108" spans="1:4" x14ac:dyDescent="0.2">
      <c r="A108">
        <v>127.14</v>
      </c>
      <c r="D108">
        <v>124.67</v>
      </c>
    </row>
    <row r="109" spans="1:4" x14ac:dyDescent="0.2">
      <c r="A109">
        <v>118.01</v>
      </c>
      <c r="D109">
        <v>124.67</v>
      </c>
    </row>
    <row r="110" spans="1:4" x14ac:dyDescent="0.2">
      <c r="A110">
        <v>118.01</v>
      </c>
      <c r="D110">
        <v>126.59</v>
      </c>
    </row>
    <row r="111" spans="1:4" x14ac:dyDescent="0.2">
      <c r="A111">
        <v>120.57</v>
      </c>
      <c r="D111">
        <v>126.59</v>
      </c>
    </row>
    <row r="112" spans="1:4" x14ac:dyDescent="0.2">
      <c r="A112">
        <v>120.57</v>
      </c>
      <c r="D112">
        <v>120.41</v>
      </c>
    </row>
    <row r="113" spans="1:4" x14ac:dyDescent="0.2">
      <c r="A113">
        <v>119.79</v>
      </c>
      <c r="D113">
        <v>120.41</v>
      </c>
    </row>
    <row r="114" spans="1:4" x14ac:dyDescent="0.2">
      <c r="A114">
        <v>119.79</v>
      </c>
      <c r="D114">
        <v>124.64</v>
      </c>
    </row>
    <row r="115" spans="1:4" x14ac:dyDescent="0.2">
      <c r="A115">
        <v>118.7</v>
      </c>
      <c r="D115">
        <v>124.64</v>
      </c>
    </row>
    <row r="116" spans="1:4" x14ac:dyDescent="0.2">
      <c r="A116">
        <v>118.7</v>
      </c>
      <c r="D116">
        <v>131.74</v>
      </c>
    </row>
    <row r="117" spans="1:4" x14ac:dyDescent="0.2">
      <c r="A117">
        <v>122.98</v>
      </c>
      <c r="D117">
        <v>131.74</v>
      </c>
    </row>
    <row r="118" spans="1:4" x14ac:dyDescent="0.2">
      <c r="A118">
        <v>122.98</v>
      </c>
      <c r="D118">
        <v>124.93</v>
      </c>
    </row>
    <row r="119" spans="1:4" x14ac:dyDescent="0.2">
      <c r="A119">
        <v>125.37</v>
      </c>
      <c r="D119">
        <v>124.93</v>
      </c>
    </row>
    <row r="120" spans="1:4" x14ac:dyDescent="0.2">
      <c r="A120">
        <v>125.37</v>
      </c>
      <c r="D120">
        <v>126.76</v>
      </c>
    </row>
    <row r="121" spans="1:4" x14ac:dyDescent="0.2">
      <c r="A121">
        <v>125.72</v>
      </c>
      <c r="D121">
        <v>126.76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F962F-1E4D-6545-B310-5079828EB8DF}">
  <dimension ref="A1:AA121"/>
  <sheetViews>
    <sheetView tabSelected="1" zoomScale="92" workbookViewId="0">
      <selection activeCell="N14" sqref="N14"/>
    </sheetView>
  </sheetViews>
  <sheetFormatPr baseColWidth="10" defaultRowHeight="16" x14ac:dyDescent="0.2"/>
  <cols>
    <col min="1" max="1" width="10.83203125" style="5"/>
    <col min="2" max="2" width="23" style="5" bestFit="1" customWidth="1"/>
    <col min="3" max="3" width="10.83203125" style="5"/>
    <col min="5" max="5" width="23.5" style="5" bestFit="1" customWidth="1"/>
    <col min="6" max="6" width="10.83203125" style="5"/>
    <col min="8" max="8" width="39.1640625" bestFit="1" customWidth="1"/>
    <col min="11" max="11" width="39.1640625" bestFit="1" customWidth="1"/>
    <col min="13" max="13" width="20.83203125" bestFit="1" customWidth="1"/>
    <col min="14" max="14" width="19.83203125" bestFit="1" customWidth="1"/>
    <col min="15" max="15" width="13.1640625" bestFit="1" customWidth="1"/>
    <col min="17" max="17" width="34" bestFit="1" customWidth="1"/>
    <col min="20" max="20" width="34" bestFit="1" customWidth="1"/>
    <col min="23" max="23" width="34" bestFit="1" customWidth="1"/>
    <col min="26" max="26" width="34" bestFit="1" customWidth="1"/>
  </cols>
  <sheetData>
    <row r="1" spans="1:27" x14ac:dyDescent="0.2">
      <c r="A1" s="2" t="s">
        <v>6</v>
      </c>
      <c r="B1" s="2" t="s">
        <v>15</v>
      </c>
      <c r="C1" s="2" t="s">
        <v>7</v>
      </c>
      <c r="D1" s="2" t="s">
        <v>6</v>
      </c>
      <c r="E1" s="2" t="s">
        <v>31</v>
      </c>
      <c r="F1" s="2" t="s">
        <v>7</v>
      </c>
      <c r="G1" s="3" t="s">
        <v>6</v>
      </c>
      <c r="H1" s="3" t="s">
        <v>29</v>
      </c>
      <c r="I1" s="3" t="s">
        <v>7</v>
      </c>
      <c r="J1" s="3" t="s">
        <v>6</v>
      </c>
      <c r="K1" s="3" t="s">
        <v>30</v>
      </c>
      <c r="L1" s="3" t="s">
        <v>7</v>
      </c>
      <c r="M1" s="4" t="s">
        <v>25</v>
      </c>
      <c r="N1" s="4" t="s">
        <v>18</v>
      </c>
      <c r="O1" s="4">
        <f>AVERAGE(M:M)</f>
        <v>101.29628333333325</v>
      </c>
      <c r="P1" s="6" t="s">
        <v>6</v>
      </c>
      <c r="Q1" s="6" t="s">
        <v>34</v>
      </c>
      <c r="R1" s="6" t="s">
        <v>7</v>
      </c>
      <c r="S1" s="6" t="s">
        <v>6</v>
      </c>
      <c r="T1" s="6" t="s">
        <v>33</v>
      </c>
      <c r="U1" s="6" t="s">
        <v>7</v>
      </c>
      <c r="V1" s="6" t="s">
        <v>6</v>
      </c>
      <c r="W1" s="6" t="s">
        <v>35</v>
      </c>
      <c r="X1" s="6" t="s">
        <v>7</v>
      </c>
      <c r="Y1" s="6" t="s">
        <v>6</v>
      </c>
      <c r="Z1" s="6" t="s">
        <v>36</v>
      </c>
      <c r="AA1" s="6" t="s">
        <v>7</v>
      </c>
    </row>
    <row r="2" spans="1:27" x14ac:dyDescent="0.2">
      <c r="A2" s="2">
        <v>115.54</v>
      </c>
      <c r="B2" s="2" t="s">
        <v>14</v>
      </c>
      <c r="C2" s="2">
        <v>16</v>
      </c>
      <c r="D2" s="2">
        <v>109.1</v>
      </c>
      <c r="E2" s="2" t="s">
        <v>14</v>
      </c>
      <c r="F2" s="2">
        <v>16</v>
      </c>
      <c r="G2" s="3">
        <v>130.28</v>
      </c>
      <c r="H2" s="3" t="s">
        <v>14</v>
      </c>
      <c r="I2" s="3">
        <v>27</v>
      </c>
      <c r="J2" s="3">
        <v>128.6</v>
      </c>
      <c r="K2" s="3" t="s">
        <v>14</v>
      </c>
      <c r="L2" s="3">
        <f>AVERAGE(26,27)</f>
        <v>26.5</v>
      </c>
      <c r="M2" s="4">
        <v>100.15</v>
      </c>
      <c r="N2" s="4" t="s">
        <v>19</v>
      </c>
      <c r="O2" s="4">
        <f>MIN(M:M)</f>
        <v>96.468000000000004</v>
      </c>
      <c r="P2" s="6">
        <v>111.75</v>
      </c>
      <c r="Q2" s="6" t="s">
        <v>14</v>
      </c>
      <c r="R2" s="6">
        <f>AVERAGE(18,19)</f>
        <v>18.5</v>
      </c>
      <c r="S2" s="6">
        <v>129.05000000000001</v>
      </c>
      <c r="T2" s="6" t="s">
        <v>14</v>
      </c>
      <c r="U2" s="6">
        <f>AVERAGE(24,25)</f>
        <v>24.5</v>
      </c>
      <c r="V2" s="6">
        <v>141.03</v>
      </c>
      <c r="W2" s="6" t="s">
        <v>14</v>
      </c>
      <c r="X2" s="6">
        <f>AVERAGE(30,31)</f>
        <v>30.5</v>
      </c>
      <c r="Y2" s="6">
        <v>170.35</v>
      </c>
      <c r="Z2" s="6" t="s">
        <v>14</v>
      </c>
      <c r="AA2" s="6">
        <f>AVERAGE(53,55)</f>
        <v>54</v>
      </c>
    </row>
    <row r="3" spans="1:27" x14ac:dyDescent="0.2">
      <c r="A3" s="2">
        <v>115.54</v>
      </c>
      <c r="B3" s="2" t="s">
        <v>8</v>
      </c>
      <c r="C3" s="2">
        <f>AVERAGE(A:A)</f>
        <v>113.03499999999984</v>
      </c>
      <c r="D3" s="2">
        <v>109.1</v>
      </c>
      <c r="E3" s="2" t="s">
        <v>8</v>
      </c>
      <c r="F3" s="2">
        <f>AVERAGE(D:D)</f>
        <v>113.0340833333333</v>
      </c>
      <c r="G3" s="3">
        <v>140.32</v>
      </c>
      <c r="H3" s="3" t="s">
        <v>8</v>
      </c>
      <c r="I3" s="3">
        <f>AVERAGE(G:G)</f>
        <v>130.93566666666666</v>
      </c>
      <c r="J3" s="3">
        <v>128.87</v>
      </c>
      <c r="K3" s="3" t="s">
        <v>8</v>
      </c>
      <c r="L3" s="3">
        <f>AVERAGE(J:J)</f>
        <v>130.88941666666673</v>
      </c>
      <c r="M3" s="4">
        <v>98.122</v>
      </c>
      <c r="N3" s="4" t="s">
        <v>21</v>
      </c>
      <c r="O3" s="4">
        <f>MAX(M:M)</f>
        <v>110.63</v>
      </c>
      <c r="P3" s="6">
        <v>114.85</v>
      </c>
      <c r="Q3" s="6" t="s">
        <v>8</v>
      </c>
      <c r="R3" s="6">
        <f>AVERAGE(P:P)</f>
        <v>118.57241666666667</v>
      </c>
      <c r="S3" s="6">
        <v>130.52000000000001</v>
      </c>
      <c r="T3" s="6" t="s">
        <v>8</v>
      </c>
      <c r="U3" s="6">
        <f>AVERAGE(S:S)</f>
        <v>131.25925000000001</v>
      </c>
      <c r="V3" s="6">
        <v>139.55000000000001</v>
      </c>
      <c r="W3" s="6" t="s">
        <v>8</v>
      </c>
      <c r="X3" s="6">
        <f>AVERAGE(V:V)</f>
        <v>142.46566666666661</v>
      </c>
      <c r="Y3" s="6">
        <v>170.35</v>
      </c>
      <c r="Z3" s="6" t="s">
        <v>8</v>
      </c>
      <c r="AA3" s="6">
        <f>AVERAGE(Y:Y)</f>
        <v>175.67283333333316</v>
      </c>
    </row>
    <row r="4" spans="1:27" x14ac:dyDescent="0.2">
      <c r="A4" s="2">
        <v>109.44</v>
      </c>
      <c r="B4" s="2" t="s">
        <v>16</v>
      </c>
      <c r="C4" s="2">
        <f>C3-C2</f>
        <v>97.03499999999984</v>
      </c>
      <c r="D4" s="2">
        <v>110.86</v>
      </c>
      <c r="E4" s="2" t="s">
        <v>16</v>
      </c>
      <c r="F4" s="2">
        <f>F3-F2</f>
        <v>97.034083333333299</v>
      </c>
      <c r="G4" s="3">
        <v>140.32</v>
      </c>
      <c r="H4" s="3" t="s">
        <v>16</v>
      </c>
      <c r="I4" s="3">
        <f>I3-I2</f>
        <v>103.93566666666666</v>
      </c>
      <c r="J4" s="3">
        <v>128.87</v>
      </c>
      <c r="K4" s="3" t="s">
        <v>16</v>
      </c>
      <c r="L4" s="3">
        <f>L3-L2</f>
        <v>104.38941666666673</v>
      </c>
      <c r="M4" s="4">
        <v>98.122</v>
      </c>
      <c r="N4" s="4" t="s">
        <v>22</v>
      </c>
      <c r="O4" s="4">
        <f>MEDIAN(M:M)</f>
        <v>100.08</v>
      </c>
      <c r="P4" s="6">
        <v>114.85</v>
      </c>
      <c r="Q4" s="6" t="s">
        <v>16</v>
      </c>
      <c r="R4" s="6">
        <f>R3-R2</f>
        <v>100.07241666666667</v>
      </c>
      <c r="S4" s="6">
        <v>130.52000000000001</v>
      </c>
      <c r="T4" s="6" t="s">
        <v>16</v>
      </c>
      <c r="U4" s="6">
        <f>U3-U2</f>
        <v>106.75925000000001</v>
      </c>
      <c r="V4" s="6">
        <v>139.55000000000001</v>
      </c>
      <c r="W4" s="6" t="s">
        <v>16</v>
      </c>
      <c r="X4" s="6">
        <f>X3-X2</f>
        <v>111.96566666666661</v>
      </c>
      <c r="Y4" s="6">
        <v>179.77</v>
      </c>
      <c r="Z4" s="6" t="s">
        <v>16</v>
      </c>
      <c r="AA4" s="6">
        <f>AA3-AA2</f>
        <v>121.67283333333316</v>
      </c>
    </row>
    <row r="5" spans="1:27" x14ac:dyDescent="0.2">
      <c r="A5" s="2">
        <v>109.44</v>
      </c>
      <c r="B5" s="2" t="s">
        <v>23</v>
      </c>
      <c r="C5" s="2">
        <f>O5+C4</f>
        <v>110.03499999999984</v>
      </c>
      <c r="D5" s="2">
        <v>110.86</v>
      </c>
      <c r="E5" s="2" t="s">
        <v>23</v>
      </c>
      <c r="F5" s="2">
        <f>$O$5+F4</f>
        <v>110.0340833333333</v>
      </c>
      <c r="G5" s="3">
        <v>133.94</v>
      </c>
      <c r="H5" s="3" t="s">
        <v>23</v>
      </c>
      <c r="I5" s="3">
        <f>$O$5+I4</f>
        <v>116.93566666666666</v>
      </c>
      <c r="J5" s="3">
        <v>140.9</v>
      </c>
      <c r="K5" s="3" t="s">
        <v>23</v>
      </c>
      <c r="L5" s="3">
        <f>$O$5+L4</f>
        <v>117.38941666666673</v>
      </c>
      <c r="M5" s="4">
        <v>96.468000000000004</v>
      </c>
      <c r="N5" s="4" t="s">
        <v>20</v>
      </c>
      <c r="O5" s="4">
        <v>13</v>
      </c>
      <c r="P5" s="6">
        <v>117.52</v>
      </c>
      <c r="Q5" s="6" t="s">
        <v>23</v>
      </c>
      <c r="R5" s="6">
        <f>$O$5+R4</f>
        <v>113.07241666666667</v>
      </c>
      <c r="S5" s="6">
        <v>130.83000000000001</v>
      </c>
      <c r="T5" s="6" t="s">
        <v>23</v>
      </c>
      <c r="U5" s="6">
        <f>$O$5+U4</f>
        <v>119.75925000000001</v>
      </c>
      <c r="V5" s="6">
        <v>147.46</v>
      </c>
      <c r="W5" s="6" t="s">
        <v>23</v>
      </c>
      <c r="X5" s="6">
        <f>$O$5+X4</f>
        <v>124.96566666666661</v>
      </c>
      <c r="Y5" s="6">
        <v>179.77</v>
      </c>
      <c r="Z5" s="6" t="s">
        <v>23</v>
      </c>
      <c r="AA5" s="6">
        <f>$O$5+AA4</f>
        <v>134.67283333333316</v>
      </c>
    </row>
    <row r="6" spans="1:27" x14ac:dyDescent="0.2">
      <c r="A6" s="2">
        <v>108.82</v>
      </c>
      <c r="B6" s="2"/>
      <c r="C6" s="2"/>
      <c r="D6" s="2">
        <v>108.86</v>
      </c>
      <c r="E6" s="2"/>
      <c r="F6" s="2"/>
      <c r="G6" s="3">
        <v>133.94</v>
      </c>
      <c r="H6" s="3"/>
      <c r="I6" s="3"/>
      <c r="J6" s="3">
        <v>140.9</v>
      </c>
      <c r="K6" s="3"/>
      <c r="L6" s="3"/>
      <c r="M6" s="4">
        <v>96.468000000000004</v>
      </c>
      <c r="N6" s="4"/>
      <c r="O6" s="4"/>
      <c r="P6" s="6">
        <v>117.52</v>
      </c>
      <c r="Q6" s="6"/>
      <c r="R6" s="6"/>
      <c r="S6" s="6">
        <v>130.83000000000001</v>
      </c>
      <c r="T6" s="6"/>
      <c r="U6" s="6"/>
      <c r="V6" s="6">
        <v>147.46</v>
      </c>
      <c r="W6" s="6"/>
      <c r="X6" s="6"/>
      <c r="Y6" s="6">
        <v>180.49</v>
      </c>
      <c r="Z6" s="6"/>
      <c r="AA6" s="6"/>
    </row>
    <row r="7" spans="1:27" x14ac:dyDescent="0.2">
      <c r="A7" s="2">
        <v>108.82</v>
      </c>
      <c r="B7" s="2"/>
      <c r="C7" s="2"/>
      <c r="D7" s="2">
        <v>108.86</v>
      </c>
      <c r="E7" s="2"/>
      <c r="F7" s="2"/>
      <c r="G7" s="3">
        <v>130.96</v>
      </c>
      <c r="H7" s="3"/>
      <c r="I7" s="3"/>
      <c r="J7" s="3">
        <v>129.96</v>
      </c>
      <c r="K7" s="3"/>
      <c r="L7" s="3"/>
      <c r="M7" s="4">
        <v>107.64</v>
      </c>
      <c r="N7" s="4"/>
      <c r="O7" s="4"/>
      <c r="P7" s="6">
        <v>113.52</v>
      </c>
      <c r="Q7" s="6"/>
      <c r="R7" s="6"/>
      <c r="S7" s="6">
        <v>135.58000000000001</v>
      </c>
      <c r="T7" s="6"/>
      <c r="U7" s="6"/>
      <c r="V7" s="6">
        <v>146.19</v>
      </c>
      <c r="W7" s="6"/>
      <c r="X7" s="6"/>
      <c r="Y7" s="6">
        <v>180.49</v>
      </c>
      <c r="Z7" s="6"/>
      <c r="AA7" s="6"/>
    </row>
    <row r="8" spans="1:27" x14ac:dyDescent="0.2">
      <c r="A8" s="2">
        <v>112.54</v>
      </c>
      <c r="B8" s="2"/>
      <c r="C8" s="2"/>
      <c r="D8" s="2">
        <v>108.57</v>
      </c>
      <c r="E8" s="2"/>
      <c r="F8" s="2"/>
      <c r="G8" s="3">
        <v>130.96</v>
      </c>
      <c r="H8" s="3"/>
      <c r="I8" s="3"/>
      <c r="J8" s="3">
        <v>129.96</v>
      </c>
      <c r="K8" s="3"/>
      <c r="L8" s="3"/>
      <c r="M8" s="4">
        <v>107.64</v>
      </c>
      <c r="N8" s="4"/>
      <c r="O8" s="4"/>
      <c r="P8" s="6">
        <v>113.52</v>
      </c>
      <c r="Q8" s="6"/>
      <c r="R8" s="6"/>
      <c r="S8" s="6">
        <v>135.58000000000001</v>
      </c>
      <c r="T8" s="6"/>
      <c r="U8" s="6"/>
      <c r="V8" s="6">
        <v>146.19</v>
      </c>
      <c r="W8" s="6"/>
      <c r="X8" s="6"/>
      <c r="Y8" s="6">
        <v>174.53</v>
      </c>
      <c r="Z8" s="6"/>
      <c r="AA8" s="6"/>
    </row>
    <row r="9" spans="1:27" x14ac:dyDescent="0.2">
      <c r="A9" s="2">
        <v>112.54</v>
      </c>
      <c r="B9" s="2"/>
      <c r="C9" s="2"/>
      <c r="D9" s="2">
        <v>108.57</v>
      </c>
      <c r="E9" s="2"/>
      <c r="F9" s="2"/>
      <c r="G9" s="3">
        <v>139.63999999999999</v>
      </c>
      <c r="H9" s="3"/>
      <c r="I9" s="3"/>
      <c r="J9" s="3">
        <v>131.16</v>
      </c>
      <c r="K9" s="3"/>
      <c r="L9" s="3"/>
      <c r="M9" s="4">
        <v>101.13</v>
      </c>
      <c r="N9" s="4"/>
      <c r="O9" s="4"/>
      <c r="P9" s="6">
        <v>123.89</v>
      </c>
      <c r="Q9" s="6"/>
      <c r="R9" s="6"/>
      <c r="S9" s="6">
        <v>130.47999999999999</v>
      </c>
      <c r="T9" s="6"/>
      <c r="U9" s="6"/>
      <c r="V9" s="6">
        <v>147.27000000000001</v>
      </c>
      <c r="W9" s="6"/>
      <c r="X9" s="6"/>
      <c r="Y9" s="6">
        <v>174.53</v>
      </c>
      <c r="Z9" s="6"/>
      <c r="AA9" s="6"/>
    </row>
    <row r="10" spans="1:27" x14ac:dyDescent="0.2">
      <c r="A10" s="2">
        <v>108.61</v>
      </c>
      <c r="B10" s="2"/>
      <c r="C10" s="2"/>
      <c r="D10" s="2">
        <v>112.29</v>
      </c>
      <c r="E10" s="2"/>
      <c r="F10" s="2"/>
      <c r="G10" s="3">
        <v>139.63999999999999</v>
      </c>
      <c r="H10" s="3"/>
      <c r="I10" s="3"/>
      <c r="J10" s="3">
        <v>131.16</v>
      </c>
      <c r="K10" s="3"/>
      <c r="L10" s="3"/>
      <c r="M10" s="4">
        <v>101.13</v>
      </c>
      <c r="N10" s="4"/>
      <c r="O10" s="4"/>
      <c r="P10" s="6">
        <v>123.89</v>
      </c>
      <c r="Q10" s="6"/>
      <c r="R10" s="6"/>
      <c r="S10" s="6">
        <v>130.47999999999999</v>
      </c>
      <c r="T10" s="6"/>
      <c r="U10" s="6"/>
      <c r="V10" s="6">
        <v>147.27000000000001</v>
      </c>
      <c r="W10" s="6"/>
      <c r="X10" s="6"/>
      <c r="Y10" s="6">
        <v>181.03</v>
      </c>
      <c r="Z10" s="6"/>
      <c r="AA10" s="6"/>
    </row>
    <row r="11" spans="1:27" x14ac:dyDescent="0.2">
      <c r="A11" s="2">
        <v>108.61</v>
      </c>
      <c r="B11" s="2"/>
      <c r="C11" s="2"/>
      <c r="D11" s="2">
        <v>112.29</v>
      </c>
      <c r="E11" s="2"/>
      <c r="F11" s="2"/>
      <c r="G11" s="3">
        <v>129.72</v>
      </c>
      <c r="H11" s="3"/>
      <c r="I11" s="3"/>
      <c r="J11" s="3">
        <v>131.08000000000001</v>
      </c>
      <c r="K11" s="3"/>
      <c r="L11" s="3"/>
      <c r="M11" s="4">
        <v>99.087999999999994</v>
      </c>
      <c r="N11" s="4"/>
      <c r="O11" s="4"/>
      <c r="P11" s="6">
        <v>119.87</v>
      </c>
      <c r="Q11" s="6"/>
      <c r="R11" s="6"/>
      <c r="S11" s="6">
        <v>127.11</v>
      </c>
      <c r="T11" s="6"/>
      <c r="U11" s="6"/>
      <c r="V11" s="6">
        <v>146.07</v>
      </c>
      <c r="W11" s="6"/>
      <c r="X11" s="6"/>
      <c r="Y11" s="6">
        <v>181.03</v>
      </c>
      <c r="Z11" s="6"/>
      <c r="AA11" s="6"/>
    </row>
    <row r="12" spans="1:27" x14ac:dyDescent="0.2">
      <c r="A12" s="2">
        <v>107.38</v>
      </c>
      <c r="B12" s="2"/>
      <c r="C12" s="2"/>
      <c r="D12" s="2">
        <v>119.34</v>
      </c>
      <c r="E12" s="2"/>
      <c r="F12" s="2"/>
      <c r="G12" s="3">
        <v>129.72</v>
      </c>
      <c r="H12" s="3"/>
      <c r="I12" s="3"/>
      <c r="J12" s="3">
        <v>131.08000000000001</v>
      </c>
      <c r="K12" s="3"/>
      <c r="L12" s="3"/>
      <c r="M12" s="4">
        <v>99.087999999999994</v>
      </c>
      <c r="N12" s="4"/>
      <c r="O12" s="4"/>
      <c r="P12" s="6">
        <v>119.87</v>
      </c>
      <c r="Q12" s="6"/>
      <c r="R12" s="6"/>
      <c r="S12" s="6">
        <v>127.11</v>
      </c>
      <c r="T12" s="6"/>
      <c r="U12" s="6"/>
      <c r="V12" s="6">
        <v>146.07</v>
      </c>
      <c r="W12" s="6"/>
      <c r="X12" s="6"/>
      <c r="Y12" s="6">
        <v>174.65</v>
      </c>
      <c r="Z12" s="6"/>
      <c r="AA12" s="6"/>
    </row>
    <row r="13" spans="1:27" x14ac:dyDescent="0.2">
      <c r="A13" s="2">
        <v>107.38</v>
      </c>
      <c r="B13" s="2"/>
      <c r="C13" s="2"/>
      <c r="D13" s="2">
        <v>119.34</v>
      </c>
      <c r="E13" s="2"/>
      <c r="F13" s="2"/>
      <c r="G13" s="3">
        <v>126.01</v>
      </c>
      <c r="H13" s="3"/>
      <c r="I13" s="3"/>
      <c r="J13" s="3">
        <v>135.38</v>
      </c>
      <c r="K13" s="3"/>
      <c r="L13" s="3"/>
      <c r="M13" s="4">
        <v>102.04</v>
      </c>
      <c r="N13" s="4"/>
      <c r="O13" s="4"/>
      <c r="P13" s="6">
        <v>117.89</v>
      </c>
      <c r="Q13" s="6"/>
      <c r="R13" s="6"/>
      <c r="S13" s="6">
        <v>126.54</v>
      </c>
      <c r="T13" s="6"/>
      <c r="U13" s="6"/>
      <c r="V13" s="6">
        <v>142.47</v>
      </c>
      <c r="W13" s="6"/>
      <c r="X13" s="6"/>
      <c r="Y13" s="6">
        <v>174.65</v>
      </c>
      <c r="Z13" s="6"/>
      <c r="AA13" s="6"/>
    </row>
    <row r="14" spans="1:27" x14ac:dyDescent="0.2">
      <c r="A14" s="2">
        <v>110.51</v>
      </c>
      <c r="B14" s="2"/>
      <c r="C14" s="2"/>
      <c r="D14" s="2">
        <v>113.39</v>
      </c>
      <c r="E14" s="2"/>
      <c r="F14" s="2"/>
      <c r="G14" s="3">
        <v>126.01</v>
      </c>
      <c r="H14" s="3"/>
      <c r="I14" s="3"/>
      <c r="J14" s="3">
        <v>135.38</v>
      </c>
      <c r="K14" s="3"/>
      <c r="L14" s="3"/>
      <c r="M14" s="4">
        <v>102.04</v>
      </c>
      <c r="N14" s="4"/>
      <c r="O14" s="4"/>
      <c r="P14" s="6">
        <v>117.89</v>
      </c>
      <c r="Q14" s="6"/>
      <c r="R14" s="6"/>
      <c r="S14" s="6">
        <v>126.54</v>
      </c>
      <c r="T14" s="6"/>
      <c r="U14" s="6"/>
      <c r="V14" s="6">
        <v>142.47</v>
      </c>
      <c r="W14" s="6"/>
      <c r="X14" s="6"/>
      <c r="Y14" s="6">
        <v>173.86</v>
      </c>
      <c r="Z14" s="6"/>
      <c r="AA14" s="6"/>
    </row>
    <row r="15" spans="1:27" x14ac:dyDescent="0.2">
      <c r="A15" s="2">
        <v>110.51</v>
      </c>
      <c r="B15" s="2"/>
      <c r="C15" s="2"/>
      <c r="D15" s="2">
        <v>113.39</v>
      </c>
      <c r="E15" s="2"/>
      <c r="F15" s="2"/>
      <c r="G15" s="3">
        <v>131.49</v>
      </c>
      <c r="H15" s="3"/>
      <c r="I15" s="3"/>
      <c r="J15" s="3">
        <v>126.67</v>
      </c>
      <c r="K15" s="3"/>
      <c r="L15" s="3"/>
      <c r="M15" s="4">
        <v>98.781000000000006</v>
      </c>
      <c r="N15" s="4"/>
      <c r="O15" s="4"/>
      <c r="P15" s="6">
        <v>121.87</v>
      </c>
      <c r="Q15" s="6"/>
      <c r="R15" s="6"/>
      <c r="S15" s="6">
        <v>128.93</v>
      </c>
      <c r="T15" s="6"/>
      <c r="U15" s="6"/>
      <c r="V15" s="6">
        <v>137.77000000000001</v>
      </c>
      <c r="W15" s="6"/>
      <c r="X15" s="6"/>
      <c r="Y15" s="6">
        <v>173.86</v>
      </c>
      <c r="Z15" s="6"/>
      <c r="AA15" s="6"/>
    </row>
    <row r="16" spans="1:27" x14ac:dyDescent="0.2">
      <c r="A16" s="2">
        <v>108.6</v>
      </c>
      <c r="B16" s="2"/>
      <c r="C16" s="2"/>
      <c r="D16" s="2">
        <v>114.96</v>
      </c>
      <c r="E16" s="2"/>
      <c r="F16" s="2"/>
      <c r="G16" s="3">
        <v>131.49</v>
      </c>
      <c r="H16" s="3"/>
      <c r="I16" s="3"/>
      <c r="J16" s="3">
        <v>126.67</v>
      </c>
      <c r="K16" s="3"/>
      <c r="L16" s="3"/>
      <c r="M16" s="4">
        <v>98.781000000000006</v>
      </c>
      <c r="N16" s="4"/>
      <c r="O16" s="4"/>
      <c r="P16" s="6">
        <v>121.87</v>
      </c>
      <c r="Q16" s="6"/>
      <c r="R16" s="6"/>
      <c r="S16" s="6">
        <v>128.93</v>
      </c>
      <c r="T16" s="6"/>
      <c r="U16" s="6"/>
      <c r="V16" s="6">
        <v>137.77000000000001</v>
      </c>
      <c r="W16" s="6"/>
      <c r="X16" s="6"/>
      <c r="Y16" s="6">
        <v>177.6</v>
      </c>
      <c r="Z16" s="6"/>
      <c r="AA16" s="6"/>
    </row>
    <row r="17" spans="1:27" x14ac:dyDescent="0.2">
      <c r="A17" s="2">
        <v>108.6</v>
      </c>
      <c r="B17" s="2"/>
      <c r="C17" s="2"/>
      <c r="D17" s="2">
        <v>114.96</v>
      </c>
      <c r="E17" s="2"/>
      <c r="F17" s="2"/>
      <c r="G17" s="3">
        <v>133.30000000000001</v>
      </c>
      <c r="H17" s="3"/>
      <c r="I17" s="3"/>
      <c r="J17" s="3">
        <v>131.69</v>
      </c>
      <c r="K17" s="3"/>
      <c r="L17" s="3"/>
      <c r="M17" s="4">
        <v>97.941000000000003</v>
      </c>
      <c r="N17" s="4"/>
      <c r="O17" s="4"/>
      <c r="P17" s="6">
        <v>119.53</v>
      </c>
      <c r="Q17" s="6"/>
      <c r="R17" s="6"/>
      <c r="S17" s="6">
        <v>127.33</v>
      </c>
      <c r="T17" s="6"/>
      <c r="U17" s="6"/>
      <c r="V17" s="6">
        <v>142.87</v>
      </c>
      <c r="W17" s="6"/>
      <c r="X17" s="6"/>
      <c r="Y17" s="6">
        <v>177.6</v>
      </c>
      <c r="Z17" s="6"/>
      <c r="AA17" s="6"/>
    </row>
    <row r="18" spans="1:27" x14ac:dyDescent="0.2">
      <c r="A18" s="2">
        <v>111.84</v>
      </c>
      <c r="B18" s="2"/>
      <c r="C18" s="2"/>
      <c r="D18" s="2">
        <v>117.26</v>
      </c>
      <c r="E18" s="2"/>
      <c r="F18" s="2"/>
      <c r="G18" s="3">
        <v>133.30000000000001</v>
      </c>
      <c r="H18" s="3"/>
      <c r="I18" s="3"/>
      <c r="J18" s="3">
        <v>131.69</v>
      </c>
      <c r="K18" s="3"/>
      <c r="L18" s="3"/>
      <c r="M18" s="4">
        <v>97.941000000000003</v>
      </c>
      <c r="N18" s="4"/>
      <c r="O18" s="4"/>
      <c r="P18" s="6">
        <v>119.53</v>
      </c>
      <c r="Q18" s="6"/>
      <c r="R18" s="6"/>
      <c r="S18" s="6">
        <v>127.33</v>
      </c>
      <c r="T18" s="6"/>
      <c r="U18" s="6"/>
      <c r="V18" s="6">
        <v>142.87</v>
      </c>
      <c r="W18" s="6"/>
      <c r="X18" s="6"/>
      <c r="Y18" s="6">
        <v>165.87</v>
      </c>
      <c r="Z18" s="6"/>
      <c r="AA18" s="6"/>
    </row>
    <row r="19" spans="1:27" x14ac:dyDescent="0.2">
      <c r="A19" s="2">
        <v>111.84</v>
      </c>
      <c r="B19" s="2"/>
      <c r="C19" s="2"/>
      <c r="D19" s="2">
        <v>117.26</v>
      </c>
      <c r="E19" s="2"/>
      <c r="F19" s="2"/>
      <c r="G19" s="3">
        <v>131.54</v>
      </c>
      <c r="H19" s="3"/>
      <c r="I19" s="3"/>
      <c r="J19" s="3">
        <v>125.9</v>
      </c>
      <c r="K19" s="3"/>
      <c r="L19" s="3"/>
      <c r="M19" s="4">
        <v>100.31</v>
      </c>
      <c r="N19" s="4"/>
      <c r="O19" s="4"/>
      <c r="P19" s="6">
        <v>118.42</v>
      </c>
      <c r="Q19" s="6"/>
      <c r="R19" s="6"/>
      <c r="S19" s="6">
        <v>127.44</v>
      </c>
      <c r="T19" s="6"/>
      <c r="U19" s="6"/>
      <c r="V19" s="6">
        <v>143.81</v>
      </c>
      <c r="W19" s="6"/>
      <c r="X19" s="6"/>
      <c r="Y19" s="6">
        <v>165.87</v>
      </c>
      <c r="Z19" s="6"/>
      <c r="AA19" s="6"/>
    </row>
    <row r="20" spans="1:27" x14ac:dyDescent="0.2">
      <c r="A20" s="2">
        <v>120.57</v>
      </c>
      <c r="B20" s="2"/>
      <c r="C20" s="2"/>
      <c r="D20" s="2">
        <v>112.44</v>
      </c>
      <c r="E20" s="2"/>
      <c r="F20" s="2"/>
      <c r="G20" s="3">
        <v>131.54</v>
      </c>
      <c r="H20" s="3"/>
      <c r="I20" s="3"/>
      <c r="J20" s="3">
        <v>125.9</v>
      </c>
      <c r="K20" s="3"/>
      <c r="L20" s="3"/>
      <c r="M20" s="4">
        <v>100.31</v>
      </c>
      <c r="N20" s="4"/>
      <c r="O20" s="4"/>
      <c r="P20" s="6">
        <v>118.42</v>
      </c>
      <c r="Q20" s="6"/>
      <c r="R20" s="6"/>
      <c r="S20" s="6">
        <v>127.44</v>
      </c>
      <c r="T20" s="6"/>
      <c r="U20" s="6"/>
      <c r="V20" s="6">
        <v>143.81</v>
      </c>
      <c r="W20" s="6"/>
      <c r="X20" s="6"/>
      <c r="Y20" s="6">
        <v>176.97</v>
      </c>
      <c r="Z20" s="6"/>
      <c r="AA20" s="6"/>
    </row>
    <row r="21" spans="1:27" x14ac:dyDescent="0.2">
      <c r="A21" s="2">
        <v>120.57</v>
      </c>
      <c r="B21" s="2"/>
      <c r="C21" s="2"/>
      <c r="D21" s="2">
        <v>112.44</v>
      </c>
      <c r="E21" s="2"/>
      <c r="F21" s="2"/>
      <c r="G21" s="3">
        <v>132.4</v>
      </c>
      <c r="H21" s="3"/>
      <c r="I21" s="3"/>
      <c r="J21" s="3">
        <v>132.33000000000001</v>
      </c>
      <c r="K21" s="3"/>
      <c r="L21" s="3"/>
      <c r="M21" s="4">
        <v>97.986000000000004</v>
      </c>
      <c r="N21" s="4"/>
      <c r="O21" s="4"/>
      <c r="P21" s="6">
        <v>116.78</v>
      </c>
      <c r="Q21" s="6"/>
      <c r="R21" s="6"/>
      <c r="S21" s="6">
        <v>135.47</v>
      </c>
      <c r="T21" s="6"/>
      <c r="U21" s="6"/>
      <c r="V21" s="6">
        <v>142.02000000000001</v>
      </c>
      <c r="W21" s="6"/>
      <c r="X21" s="6"/>
      <c r="Y21" s="6">
        <v>176.97</v>
      </c>
      <c r="Z21" s="6"/>
      <c r="AA21" s="6"/>
    </row>
    <row r="22" spans="1:27" x14ac:dyDescent="0.2">
      <c r="A22" s="2">
        <v>118.86</v>
      </c>
      <c r="B22" s="2"/>
      <c r="C22" s="2"/>
      <c r="D22" s="2">
        <v>115.49</v>
      </c>
      <c r="E22" s="2"/>
      <c r="F22" s="2"/>
      <c r="G22" s="3">
        <v>132.4</v>
      </c>
      <c r="H22" s="3"/>
      <c r="I22" s="3"/>
      <c r="J22" s="3">
        <v>132.37</v>
      </c>
      <c r="K22" s="3"/>
      <c r="L22" s="3"/>
      <c r="M22" s="4">
        <v>97.986000000000004</v>
      </c>
      <c r="N22" s="4"/>
      <c r="O22" s="4"/>
      <c r="P22" s="6">
        <v>116.14</v>
      </c>
      <c r="Q22" s="6"/>
      <c r="R22" s="6"/>
      <c r="S22" s="6">
        <v>135.47</v>
      </c>
      <c r="T22" s="6"/>
      <c r="U22" s="6"/>
      <c r="V22" s="6">
        <v>142.02000000000001</v>
      </c>
      <c r="W22" s="6"/>
      <c r="X22" s="6"/>
      <c r="Y22" s="6">
        <v>171.73</v>
      </c>
      <c r="Z22" s="6"/>
      <c r="AA22" s="6"/>
    </row>
    <row r="23" spans="1:27" x14ac:dyDescent="0.2">
      <c r="A23" s="2">
        <v>118.86</v>
      </c>
      <c r="B23" s="2"/>
      <c r="C23" s="2"/>
      <c r="D23" s="2">
        <v>115.49</v>
      </c>
      <c r="E23" s="2"/>
      <c r="F23" s="2"/>
      <c r="G23" s="3">
        <v>126.54</v>
      </c>
      <c r="H23" s="3"/>
      <c r="I23" s="3"/>
      <c r="J23" s="3">
        <v>132.37</v>
      </c>
      <c r="K23" s="3"/>
      <c r="L23" s="3"/>
      <c r="M23" s="4">
        <v>99.745999999999995</v>
      </c>
      <c r="N23" s="4"/>
      <c r="O23" s="4"/>
      <c r="P23" s="6">
        <v>116.14</v>
      </c>
      <c r="Q23" s="6"/>
      <c r="R23" s="6"/>
      <c r="S23" s="6">
        <v>135.09</v>
      </c>
      <c r="T23" s="6"/>
      <c r="U23" s="6"/>
      <c r="V23" s="6">
        <v>144.01</v>
      </c>
      <c r="W23" s="6"/>
      <c r="X23" s="6"/>
      <c r="Y23" s="6">
        <v>171.73</v>
      </c>
      <c r="Z23" s="6"/>
      <c r="AA23" s="6"/>
    </row>
    <row r="24" spans="1:27" x14ac:dyDescent="0.2">
      <c r="A24" s="2">
        <v>110.24</v>
      </c>
      <c r="B24" s="2"/>
      <c r="C24" s="2"/>
      <c r="D24" s="2">
        <v>115.64</v>
      </c>
      <c r="E24" s="2"/>
      <c r="F24" s="2"/>
      <c r="G24" s="3">
        <v>126.54</v>
      </c>
      <c r="H24" s="3"/>
      <c r="I24" s="3"/>
      <c r="J24" s="3">
        <v>125.29</v>
      </c>
      <c r="K24" s="3"/>
      <c r="L24" s="3"/>
      <c r="M24" s="4">
        <v>99.745999999999995</v>
      </c>
      <c r="N24" s="4"/>
      <c r="O24" s="4"/>
      <c r="P24" s="6">
        <v>117.4</v>
      </c>
      <c r="Q24" s="6"/>
      <c r="R24" s="6"/>
      <c r="S24" s="6">
        <v>135.09</v>
      </c>
      <c r="T24" s="6"/>
      <c r="U24" s="6"/>
      <c r="V24" s="6">
        <v>144.01</v>
      </c>
      <c r="W24" s="6"/>
      <c r="X24" s="6"/>
      <c r="Y24" s="6">
        <v>174.23</v>
      </c>
      <c r="Z24" s="6"/>
      <c r="AA24" s="6"/>
    </row>
    <row r="25" spans="1:27" x14ac:dyDescent="0.2">
      <c r="A25" s="2">
        <v>110.24</v>
      </c>
      <c r="B25" s="2"/>
      <c r="C25" s="2"/>
      <c r="D25" s="2">
        <v>115.64</v>
      </c>
      <c r="E25" s="2"/>
      <c r="F25" s="2"/>
      <c r="G25" s="3">
        <v>122.22</v>
      </c>
      <c r="H25" s="3"/>
      <c r="I25" s="3"/>
      <c r="J25" s="3">
        <v>125.29</v>
      </c>
      <c r="K25" s="3"/>
      <c r="L25" s="3"/>
      <c r="M25" s="4">
        <v>108.86</v>
      </c>
      <c r="N25" s="4"/>
      <c r="O25" s="4"/>
      <c r="P25" s="6">
        <v>117.4</v>
      </c>
      <c r="Q25" s="6"/>
      <c r="R25" s="6"/>
      <c r="S25" s="6">
        <v>131.31</v>
      </c>
      <c r="T25" s="6"/>
      <c r="U25" s="6"/>
      <c r="V25" s="6">
        <v>141.76</v>
      </c>
      <c r="W25" s="6"/>
      <c r="X25" s="6"/>
      <c r="Y25" s="6">
        <v>174.23</v>
      </c>
      <c r="Z25" s="6"/>
      <c r="AA25" s="6"/>
    </row>
    <row r="26" spans="1:27" x14ac:dyDescent="0.2">
      <c r="A26" s="2">
        <v>115.36</v>
      </c>
      <c r="B26" s="2"/>
      <c r="C26" s="2"/>
      <c r="D26" s="2">
        <v>111.99</v>
      </c>
      <c r="E26" s="2"/>
      <c r="F26" s="2"/>
      <c r="G26" s="3">
        <v>133.44</v>
      </c>
      <c r="H26" s="3"/>
      <c r="I26" s="3"/>
      <c r="J26" s="3">
        <v>124.13</v>
      </c>
      <c r="K26" s="3"/>
      <c r="L26" s="3"/>
      <c r="M26" s="4">
        <v>108.86</v>
      </c>
      <c r="N26" s="4"/>
      <c r="O26" s="4"/>
      <c r="P26" s="6">
        <v>125.94</v>
      </c>
      <c r="Q26" s="6"/>
      <c r="R26" s="6"/>
      <c r="S26" s="6">
        <v>131.31</v>
      </c>
      <c r="T26" s="6"/>
      <c r="U26" s="6"/>
      <c r="V26" s="6">
        <v>141.76</v>
      </c>
      <c r="W26" s="6"/>
      <c r="X26" s="6"/>
      <c r="Y26" s="6">
        <v>173.28</v>
      </c>
      <c r="Z26" s="6"/>
      <c r="AA26" s="6"/>
    </row>
    <row r="27" spans="1:27" x14ac:dyDescent="0.2">
      <c r="A27" s="2">
        <v>117.47</v>
      </c>
      <c r="B27" s="2"/>
      <c r="C27" s="2"/>
      <c r="D27" s="2">
        <v>111.99</v>
      </c>
      <c r="E27" s="2"/>
      <c r="F27" s="2"/>
      <c r="G27" s="3">
        <v>133.44</v>
      </c>
      <c r="H27" s="3"/>
      <c r="I27" s="3"/>
      <c r="J27" s="3">
        <v>124.13</v>
      </c>
      <c r="K27" s="3"/>
      <c r="L27" s="3"/>
      <c r="M27" s="4">
        <v>109.85</v>
      </c>
      <c r="N27" s="4"/>
      <c r="O27" s="4"/>
      <c r="P27" s="6">
        <v>125.94</v>
      </c>
      <c r="Q27" s="6"/>
      <c r="R27" s="6"/>
      <c r="S27" s="6">
        <v>135.82</v>
      </c>
      <c r="T27" s="6"/>
      <c r="U27" s="6"/>
      <c r="V27" s="6">
        <v>139.57</v>
      </c>
      <c r="W27" s="6"/>
      <c r="X27" s="6"/>
      <c r="Y27" s="6">
        <v>173.28</v>
      </c>
      <c r="Z27" s="6"/>
      <c r="AA27" s="6"/>
    </row>
    <row r="28" spans="1:27" x14ac:dyDescent="0.2">
      <c r="A28" s="2">
        <v>117.47</v>
      </c>
      <c r="B28" s="2"/>
      <c r="C28" s="2"/>
      <c r="D28" s="2">
        <v>112.92</v>
      </c>
      <c r="E28" s="2"/>
      <c r="F28" s="2"/>
      <c r="G28" s="3">
        <v>126.75</v>
      </c>
      <c r="H28" s="3"/>
      <c r="I28" s="3"/>
      <c r="J28" s="3">
        <v>132.41</v>
      </c>
      <c r="K28" s="3"/>
      <c r="L28" s="3"/>
      <c r="M28" s="4">
        <v>109.85</v>
      </c>
      <c r="N28" s="4"/>
      <c r="O28" s="4"/>
      <c r="P28" s="6">
        <v>117.99</v>
      </c>
      <c r="Q28" s="6"/>
      <c r="R28" s="6"/>
      <c r="S28" s="6">
        <v>135.82</v>
      </c>
      <c r="T28" s="6"/>
      <c r="U28" s="6"/>
      <c r="V28" s="6">
        <v>139.57</v>
      </c>
      <c r="W28" s="6"/>
      <c r="X28" s="6"/>
      <c r="Y28" s="6">
        <v>180.21</v>
      </c>
      <c r="Z28" s="6"/>
      <c r="AA28" s="6"/>
    </row>
    <row r="29" spans="1:27" x14ac:dyDescent="0.2">
      <c r="A29" s="2">
        <v>112.41</v>
      </c>
      <c r="B29" s="2"/>
      <c r="C29" s="2"/>
      <c r="D29" s="2">
        <v>112.92</v>
      </c>
      <c r="E29" s="2"/>
      <c r="F29" s="2"/>
      <c r="G29" s="3">
        <v>126.75</v>
      </c>
      <c r="H29" s="3"/>
      <c r="I29" s="3"/>
      <c r="J29" s="3">
        <v>132.41</v>
      </c>
      <c r="K29" s="3"/>
      <c r="L29" s="3"/>
      <c r="M29" s="4">
        <v>98.457999999999998</v>
      </c>
      <c r="N29" s="4"/>
      <c r="O29" s="4"/>
      <c r="P29" s="6">
        <v>117.99</v>
      </c>
      <c r="Q29" s="6"/>
      <c r="R29" s="6"/>
      <c r="S29" s="6">
        <v>134.03</v>
      </c>
      <c r="T29" s="6"/>
      <c r="U29" s="6"/>
      <c r="V29" s="6">
        <v>146.5</v>
      </c>
      <c r="W29" s="6"/>
      <c r="X29" s="6"/>
      <c r="Y29" s="6">
        <v>180.21</v>
      </c>
      <c r="Z29" s="6"/>
      <c r="AA29" s="6"/>
    </row>
    <row r="30" spans="1:27" x14ac:dyDescent="0.2">
      <c r="A30" s="2">
        <v>112.41</v>
      </c>
      <c r="B30" s="2"/>
      <c r="C30" s="2"/>
      <c r="D30" s="2">
        <v>117.78</v>
      </c>
      <c r="E30" s="2"/>
      <c r="F30" s="2"/>
      <c r="G30" s="3">
        <v>127</v>
      </c>
      <c r="H30" s="3"/>
      <c r="I30" s="3"/>
      <c r="J30" s="3">
        <v>134.25</v>
      </c>
      <c r="K30" s="3"/>
      <c r="L30" s="3"/>
      <c r="M30" s="4">
        <v>98.457999999999998</v>
      </c>
      <c r="N30" s="4"/>
      <c r="O30" s="4"/>
      <c r="P30" s="6">
        <v>113.56</v>
      </c>
      <c r="Q30" s="6"/>
      <c r="R30" s="6"/>
      <c r="S30" s="6">
        <v>134.03</v>
      </c>
      <c r="T30" s="6"/>
      <c r="U30" s="6"/>
      <c r="V30" s="6">
        <v>146.5</v>
      </c>
      <c r="W30" s="6"/>
      <c r="X30" s="6"/>
      <c r="Y30" s="6">
        <v>174.77</v>
      </c>
      <c r="Z30" s="6"/>
      <c r="AA30" s="6"/>
    </row>
    <row r="31" spans="1:27" x14ac:dyDescent="0.2">
      <c r="A31" s="2">
        <v>117.23</v>
      </c>
      <c r="B31" s="2"/>
      <c r="C31" s="2"/>
      <c r="D31" s="2">
        <v>117.78</v>
      </c>
      <c r="E31" s="2"/>
      <c r="F31" s="2"/>
      <c r="G31" s="3">
        <v>127</v>
      </c>
      <c r="H31" s="3"/>
      <c r="I31" s="3"/>
      <c r="J31" s="3">
        <v>134.25</v>
      </c>
      <c r="K31" s="3"/>
      <c r="L31" s="3"/>
      <c r="M31" s="4">
        <v>104.09</v>
      </c>
      <c r="N31" s="4"/>
      <c r="O31" s="4"/>
      <c r="P31" s="6">
        <v>113.56</v>
      </c>
      <c r="Q31" s="6"/>
      <c r="R31" s="6"/>
      <c r="S31" s="6">
        <v>130.22</v>
      </c>
      <c r="T31" s="6"/>
      <c r="U31" s="6"/>
      <c r="V31" s="6">
        <v>146.88</v>
      </c>
      <c r="W31" s="6"/>
      <c r="X31" s="6"/>
      <c r="Y31" s="6">
        <v>174.77</v>
      </c>
      <c r="Z31" s="6"/>
      <c r="AA31" s="6"/>
    </row>
    <row r="32" spans="1:27" x14ac:dyDescent="0.2">
      <c r="A32" s="2">
        <v>117.23</v>
      </c>
      <c r="B32" s="2"/>
      <c r="C32" s="2"/>
      <c r="D32" s="2">
        <v>114.66</v>
      </c>
      <c r="E32" s="2"/>
      <c r="F32" s="2"/>
      <c r="G32" s="3">
        <v>125.5</v>
      </c>
      <c r="H32" s="3"/>
      <c r="I32" s="3"/>
      <c r="J32" s="3">
        <v>130.88999999999999</v>
      </c>
      <c r="K32" s="3"/>
      <c r="L32" s="3"/>
      <c r="M32" s="4">
        <v>104.09</v>
      </c>
      <c r="N32" s="4"/>
      <c r="O32" s="4"/>
      <c r="P32" s="6">
        <v>123.1</v>
      </c>
      <c r="Q32" s="6"/>
      <c r="R32" s="6"/>
      <c r="S32" s="6">
        <v>130.22</v>
      </c>
      <c r="T32" s="6"/>
      <c r="U32" s="6"/>
      <c r="V32" s="6">
        <v>146.88</v>
      </c>
      <c r="W32" s="6"/>
      <c r="X32" s="6"/>
      <c r="Y32" s="6">
        <v>174.3</v>
      </c>
      <c r="Z32" s="6"/>
      <c r="AA32" s="6"/>
    </row>
    <row r="33" spans="1:27" x14ac:dyDescent="0.2">
      <c r="A33" s="2">
        <v>113.92</v>
      </c>
      <c r="B33" s="2"/>
      <c r="C33" s="2"/>
      <c r="D33" s="2">
        <v>114.66</v>
      </c>
      <c r="E33" s="2"/>
      <c r="F33" s="2"/>
      <c r="G33" s="3">
        <v>125.5</v>
      </c>
      <c r="H33" s="3"/>
      <c r="I33" s="3"/>
      <c r="J33" s="3">
        <v>130.88999999999999</v>
      </c>
      <c r="K33" s="3"/>
      <c r="L33" s="3"/>
      <c r="M33" s="4">
        <v>97.805999999999997</v>
      </c>
      <c r="N33" s="4"/>
      <c r="O33" s="4"/>
      <c r="P33" s="6">
        <v>123.1</v>
      </c>
      <c r="Q33" s="6"/>
      <c r="R33" s="6"/>
      <c r="S33" s="6">
        <v>133.69</v>
      </c>
      <c r="T33" s="6"/>
      <c r="U33" s="6"/>
      <c r="V33" s="6">
        <v>138.80000000000001</v>
      </c>
      <c r="W33" s="6"/>
      <c r="X33" s="6"/>
      <c r="Y33" s="6">
        <v>174.3</v>
      </c>
      <c r="Z33" s="6"/>
      <c r="AA33" s="6"/>
    </row>
    <row r="34" spans="1:27" x14ac:dyDescent="0.2">
      <c r="A34" s="2">
        <v>113.92</v>
      </c>
      <c r="B34" s="2"/>
      <c r="C34" s="2"/>
      <c r="D34" s="2">
        <v>116.91</v>
      </c>
      <c r="E34" s="2"/>
      <c r="F34" s="2"/>
      <c r="G34" s="3">
        <v>123.86</v>
      </c>
      <c r="H34" s="3"/>
      <c r="I34" s="3"/>
      <c r="J34" s="3">
        <v>130.1</v>
      </c>
      <c r="K34" s="3"/>
      <c r="L34" s="3"/>
      <c r="M34" s="4">
        <v>97.805999999999997</v>
      </c>
      <c r="N34" s="4"/>
      <c r="O34" s="4"/>
      <c r="P34" s="6">
        <v>121.63</v>
      </c>
      <c r="Q34" s="6"/>
      <c r="R34" s="6"/>
      <c r="S34" s="6">
        <v>133.69</v>
      </c>
      <c r="T34" s="6"/>
      <c r="U34" s="6"/>
      <c r="V34" s="6">
        <v>138.80000000000001</v>
      </c>
      <c r="W34" s="6"/>
      <c r="X34" s="6"/>
      <c r="Y34" s="6">
        <v>176.95</v>
      </c>
      <c r="Z34" s="6"/>
      <c r="AA34" s="6"/>
    </row>
    <row r="35" spans="1:27" x14ac:dyDescent="0.2">
      <c r="A35" s="2">
        <v>110.29</v>
      </c>
      <c r="B35" s="2"/>
      <c r="C35" s="2"/>
      <c r="D35" s="2">
        <v>116.91</v>
      </c>
      <c r="E35" s="2"/>
      <c r="F35" s="2"/>
      <c r="G35" s="3">
        <v>123.86</v>
      </c>
      <c r="H35" s="3"/>
      <c r="I35" s="3"/>
      <c r="J35" s="3">
        <v>130.1</v>
      </c>
      <c r="K35" s="3"/>
      <c r="L35" s="3"/>
      <c r="M35" s="4">
        <v>96.680999999999997</v>
      </c>
      <c r="N35" s="4"/>
      <c r="O35" s="4"/>
      <c r="P35" s="6">
        <v>121.63</v>
      </c>
      <c r="Q35" s="6"/>
      <c r="R35" s="6"/>
      <c r="S35" s="6">
        <v>132.22999999999999</v>
      </c>
      <c r="T35" s="6"/>
      <c r="U35" s="6"/>
      <c r="V35" s="6">
        <v>140.47999999999999</v>
      </c>
      <c r="W35" s="6"/>
      <c r="X35" s="6"/>
      <c r="Y35" s="6">
        <v>176.95</v>
      </c>
      <c r="Z35" s="6"/>
      <c r="AA35" s="6"/>
    </row>
    <row r="36" spans="1:27" x14ac:dyDescent="0.2">
      <c r="A36" s="2">
        <v>110.29</v>
      </c>
      <c r="B36" s="2"/>
      <c r="C36" s="2"/>
      <c r="D36" s="2">
        <v>115.04</v>
      </c>
      <c r="E36" s="2"/>
      <c r="F36" s="2"/>
      <c r="G36" s="3">
        <v>128.26</v>
      </c>
      <c r="H36" s="3"/>
      <c r="I36" s="3"/>
      <c r="J36" s="3">
        <v>128.28</v>
      </c>
      <c r="K36" s="3"/>
      <c r="L36" s="3"/>
      <c r="M36" s="4">
        <v>96.680999999999997</v>
      </c>
      <c r="N36" s="4"/>
      <c r="O36" s="4"/>
      <c r="P36" s="6">
        <v>115.63</v>
      </c>
      <c r="Q36" s="6"/>
      <c r="R36" s="6"/>
      <c r="S36" s="6">
        <v>132.22999999999999</v>
      </c>
      <c r="T36" s="6"/>
      <c r="U36" s="6"/>
      <c r="V36" s="6">
        <v>140.47999999999999</v>
      </c>
      <c r="W36" s="6"/>
      <c r="X36" s="6"/>
      <c r="Y36" s="6">
        <v>173.82</v>
      </c>
      <c r="Z36" s="6"/>
      <c r="AA36" s="6"/>
    </row>
    <row r="37" spans="1:27" x14ac:dyDescent="0.2">
      <c r="A37" s="2">
        <v>120.83</v>
      </c>
      <c r="B37" s="2"/>
      <c r="C37" s="2"/>
      <c r="D37" s="2">
        <v>115.04</v>
      </c>
      <c r="E37" s="2"/>
      <c r="F37" s="2"/>
      <c r="G37" s="3">
        <v>128.26</v>
      </c>
      <c r="H37" s="3"/>
      <c r="I37" s="3"/>
      <c r="J37" s="3">
        <v>128.28</v>
      </c>
      <c r="K37" s="3"/>
      <c r="L37" s="3"/>
      <c r="M37" s="4">
        <v>101.1</v>
      </c>
      <c r="N37" s="4"/>
      <c r="O37" s="4"/>
      <c r="P37" s="6">
        <v>115.63</v>
      </c>
      <c r="Q37" s="6"/>
      <c r="R37" s="6"/>
      <c r="S37" s="6">
        <v>130.69999999999999</v>
      </c>
      <c r="T37" s="6"/>
      <c r="U37" s="6"/>
      <c r="V37" s="6">
        <v>142.12</v>
      </c>
      <c r="W37" s="6"/>
      <c r="X37" s="6"/>
      <c r="Y37" s="6">
        <v>173.82</v>
      </c>
      <c r="Z37" s="6"/>
      <c r="AA37" s="6"/>
    </row>
    <row r="38" spans="1:27" x14ac:dyDescent="0.2">
      <c r="A38" s="2">
        <v>120.83</v>
      </c>
      <c r="B38" s="2"/>
      <c r="C38" s="2"/>
      <c r="D38" s="2">
        <v>109.56</v>
      </c>
      <c r="E38" s="2"/>
      <c r="F38" s="2"/>
      <c r="G38" s="3">
        <v>133.02000000000001</v>
      </c>
      <c r="H38" s="3"/>
      <c r="I38" s="3"/>
      <c r="J38" s="3">
        <v>133.25</v>
      </c>
      <c r="K38" s="3"/>
      <c r="L38" s="3"/>
      <c r="M38" s="4">
        <v>101.1</v>
      </c>
      <c r="N38" s="4"/>
      <c r="O38" s="4"/>
      <c r="P38" s="6">
        <v>115.34</v>
      </c>
      <c r="Q38" s="6"/>
      <c r="R38" s="6"/>
      <c r="S38" s="6">
        <v>130.69999999999999</v>
      </c>
      <c r="T38" s="6"/>
      <c r="U38" s="6"/>
      <c r="V38" s="6">
        <v>142.12</v>
      </c>
      <c r="W38" s="6"/>
      <c r="X38" s="6"/>
      <c r="Y38" s="6">
        <v>175.1</v>
      </c>
      <c r="Z38" s="6"/>
      <c r="AA38" s="6"/>
    </row>
    <row r="39" spans="1:27" x14ac:dyDescent="0.2">
      <c r="A39" s="2">
        <v>119.31</v>
      </c>
      <c r="B39" s="2"/>
      <c r="C39" s="2"/>
      <c r="D39" s="2">
        <v>109.56</v>
      </c>
      <c r="E39" s="2"/>
      <c r="F39" s="2"/>
      <c r="G39" s="3">
        <v>133.02000000000001</v>
      </c>
      <c r="H39" s="3"/>
      <c r="I39" s="3"/>
      <c r="J39" s="3">
        <v>133.25</v>
      </c>
      <c r="K39" s="3"/>
      <c r="L39" s="3"/>
      <c r="M39" s="4">
        <v>104.29</v>
      </c>
      <c r="N39" s="4"/>
      <c r="O39" s="4"/>
      <c r="P39" s="6">
        <v>115.34</v>
      </c>
      <c r="Q39" s="6"/>
      <c r="R39" s="6"/>
      <c r="S39" s="6">
        <v>139.53</v>
      </c>
      <c r="T39" s="6"/>
      <c r="U39" s="6"/>
      <c r="V39" s="6">
        <v>140.82</v>
      </c>
      <c r="W39" s="6"/>
      <c r="X39" s="6"/>
      <c r="Y39" s="6">
        <v>175.1</v>
      </c>
      <c r="Z39" s="6"/>
      <c r="AA39" s="6"/>
    </row>
    <row r="40" spans="1:27" x14ac:dyDescent="0.2">
      <c r="A40" s="2">
        <v>119.31</v>
      </c>
      <c r="B40" s="2"/>
      <c r="C40" s="2"/>
      <c r="D40" s="2">
        <v>108.1</v>
      </c>
      <c r="E40" s="2"/>
      <c r="F40" s="2"/>
      <c r="G40" s="3">
        <v>132.63999999999999</v>
      </c>
      <c r="H40" s="3"/>
      <c r="I40" s="3"/>
      <c r="J40" s="3">
        <v>137.13</v>
      </c>
      <c r="K40" s="3"/>
      <c r="L40" s="3"/>
      <c r="M40" s="4">
        <v>104.29</v>
      </c>
      <c r="N40" s="4"/>
      <c r="O40" s="4"/>
      <c r="P40" s="6">
        <v>121.42</v>
      </c>
      <c r="Q40" s="6"/>
      <c r="R40" s="6"/>
      <c r="S40" s="6">
        <v>139.53</v>
      </c>
      <c r="T40" s="6"/>
      <c r="U40" s="6"/>
      <c r="V40" s="6">
        <v>140.82</v>
      </c>
      <c r="W40" s="6"/>
      <c r="X40" s="6"/>
      <c r="Y40" s="6">
        <v>177.43</v>
      </c>
      <c r="Z40" s="6"/>
      <c r="AA40" s="6"/>
    </row>
    <row r="41" spans="1:27" x14ac:dyDescent="0.2">
      <c r="A41" s="2">
        <v>106.58</v>
      </c>
      <c r="B41" s="2"/>
      <c r="C41" s="2"/>
      <c r="D41" s="2">
        <v>108.1</v>
      </c>
      <c r="E41" s="2"/>
      <c r="F41" s="2"/>
      <c r="G41" s="3">
        <v>132.63999999999999</v>
      </c>
      <c r="H41" s="3"/>
      <c r="I41" s="3"/>
      <c r="J41" s="3">
        <v>137.13</v>
      </c>
      <c r="K41" s="3"/>
      <c r="L41" s="3"/>
      <c r="M41" s="4">
        <v>98.016999999999996</v>
      </c>
      <c r="N41" s="4"/>
      <c r="O41" s="4"/>
      <c r="P41" s="6">
        <v>121.42</v>
      </c>
      <c r="Q41" s="6"/>
      <c r="R41" s="6"/>
      <c r="S41" s="6">
        <v>137.94999999999999</v>
      </c>
      <c r="T41" s="6"/>
      <c r="U41" s="6"/>
      <c r="V41" s="6">
        <v>143.36000000000001</v>
      </c>
      <c r="W41" s="6"/>
      <c r="X41" s="6"/>
      <c r="Y41" s="6">
        <v>177.43</v>
      </c>
      <c r="Z41" s="6"/>
      <c r="AA41" s="6"/>
    </row>
    <row r="42" spans="1:27" x14ac:dyDescent="0.2">
      <c r="A42" s="2">
        <v>106.58</v>
      </c>
      <c r="B42" s="2"/>
      <c r="C42" s="2"/>
      <c r="D42" s="2">
        <v>112.48</v>
      </c>
      <c r="E42" s="2"/>
      <c r="F42" s="2"/>
      <c r="G42" s="3">
        <v>127.8</v>
      </c>
      <c r="H42" s="3"/>
      <c r="I42" s="3"/>
      <c r="J42" s="3">
        <v>132.47</v>
      </c>
      <c r="K42" s="3"/>
      <c r="L42" s="3"/>
      <c r="M42" s="4">
        <v>98.016999999999996</v>
      </c>
      <c r="N42" s="4"/>
      <c r="O42" s="4"/>
      <c r="P42" s="6">
        <v>112.2</v>
      </c>
      <c r="Q42" s="6"/>
      <c r="R42" s="6"/>
      <c r="S42" s="6">
        <v>137.94999999999999</v>
      </c>
      <c r="T42" s="6"/>
      <c r="U42" s="6"/>
      <c r="V42" s="6">
        <v>143.36000000000001</v>
      </c>
      <c r="W42" s="6"/>
      <c r="X42" s="6"/>
      <c r="Y42" s="6">
        <v>172.94</v>
      </c>
      <c r="Z42" s="6"/>
      <c r="AA42" s="6"/>
    </row>
    <row r="43" spans="1:27" x14ac:dyDescent="0.2">
      <c r="A43" s="2">
        <v>110.14</v>
      </c>
      <c r="B43" s="2"/>
      <c r="C43" s="2"/>
      <c r="D43" s="2">
        <v>112.48</v>
      </c>
      <c r="E43" s="2"/>
      <c r="F43" s="2"/>
      <c r="G43" s="3">
        <v>127.8</v>
      </c>
      <c r="H43" s="3"/>
      <c r="I43" s="3"/>
      <c r="J43" s="3">
        <v>132.47</v>
      </c>
      <c r="K43" s="3"/>
      <c r="L43" s="3"/>
      <c r="M43" s="4">
        <v>110.63</v>
      </c>
      <c r="N43" s="4"/>
      <c r="O43" s="4"/>
      <c r="P43" s="6">
        <v>112.2</v>
      </c>
      <c r="Q43" s="6"/>
      <c r="R43" s="6"/>
      <c r="S43" s="6">
        <v>130.13999999999999</v>
      </c>
      <c r="T43" s="6"/>
      <c r="U43" s="6"/>
      <c r="V43" s="6">
        <v>142.22</v>
      </c>
      <c r="W43" s="6"/>
      <c r="X43" s="6"/>
      <c r="Y43" s="6">
        <v>172.94</v>
      </c>
      <c r="Z43" s="6"/>
      <c r="AA43" s="6"/>
    </row>
    <row r="44" spans="1:27" x14ac:dyDescent="0.2">
      <c r="A44" s="2">
        <v>110.14</v>
      </c>
      <c r="B44" s="2"/>
      <c r="C44" s="2"/>
      <c r="D44" s="2">
        <v>109.2</v>
      </c>
      <c r="E44" s="2"/>
      <c r="F44" s="2"/>
      <c r="G44" s="3">
        <v>131.05000000000001</v>
      </c>
      <c r="H44" s="3"/>
      <c r="I44" s="3"/>
      <c r="J44" s="3">
        <v>129.82</v>
      </c>
      <c r="K44" s="3"/>
      <c r="L44" s="3"/>
      <c r="M44" s="4">
        <v>110.63</v>
      </c>
      <c r="N44" s="4"/>
      <c r="O44" s="4"/>
      <c r="P44" s="6">
        <v>123.59</v>
      </c>
      <c r="Q44" s="6"/>
      <c r="R44" s="6"/>
      <c r="S44" s="6">
        <v>130.13999999999999</v>
      </c>
      <c r="T44" s="6"/>
      <c r="U44" s="6"/>
      <c r="V44" s="6">
        <v>142.22</v>
      </c>
      <c r="W44" s="6"/>
      <c r="X44" s="6"/>
      <c r="Y44" s="6">
        <v>168.42</v>
      </c>
      <c r="Z44" s="6"/>
      <c r="AA44" s="6"/>
    </row>
    <row r="45" spans="1:27" x14ac:dyDescent="0.2">
      <c r="A45" s="2">
        <v>111.83</v>
      </c>
      <c r="B45" s="2"/>
      <c r="C45" s="2"/>
      <c r="D45" s="2">
        <v>109.2</v>
      </c>
      <c r="E45" s="2"/>
      <c r="F45" s="2"/>
      <c r="G45" s="3">
        <v>131.05000000000001</v>
      </c>
      <c r="H45" s="3"/>
      <c r="I45" s="3"/>
      <c r="J45" s="3">
        <v>129.82</v>
      </c>
      <c r="K45" s="3"/>
      <c r="L45" s="3"/>
      <c r="M45" s="4">
        <v>109.35</v>
      </c>
      <c r="N45" s="4"/>
      <c r="O45" s="4"/>
      <c r="P45" s="6">
        <v>123.59</v>
      </c>
      <c r="Q45" s="6"/>
      <c r="R45" s="6"/>
      <c r="S45" s="6">
        <v>135.58000000000001</v>
      </c>
      <c r="T45" s="6"/>
      <c r="U45" s="6"/>
      <c r="V45" s="6">
        <v>140.01</v>
      </c>
      <c r="W45" s="6"/>
      <c r="X45" s="6"/>
      <c r="Y45" s="6">
        <v>168.42</v>
      </c>
      <c r="Z45" s="6"/>
      <c r="AA45" s="6"/>
    </row>
    <row r="46" spans="1:27" x14ac:dyDescent="0.2">
      <c r="A46" s="2">
        <v>111.83</v>
      </c>
      <c r="B46" s="2"/>
      <c r="C46" s="2"/>
      <c r="D46" s="2">
        <v>109.86</v>
      </c>
      <c r="E46" s="2"/>
      <c r="F46" s="2"/>
      <c r="G46" s="3">
        <v>130.26</v>
      </c>
      <c r="H46" s="3"/>
      <c r="I46" s="3"/>
      <c r="J46" s="3">
        <v>129.99</v>
      </c>
      <c r="K46" s="3"/>
      <c r="L46" s="3"/>
      <c r="M46" s="4">
        <v>109.35</v>
      </c>
      <c r="N46" s="4"/>
      <c r="O46" s="4"/>
      <c r="P46" s="6">
        <v>121.87</v>
      </c>
      <c r="Q46" s="6"/>
      <c r="R46" s="6"/>
      <c r="S46" s="6">
        <v>135.58000000000001</v>
      </c>
      <c r="T46" s="6"/>
      <c r="U46" s="6"/>
      <c r="V46" s="6">
        <v>140.01</v>
      </c>
      <c r="W46" s="6"/>
      <c r="X46" s="6"/>
      <c r="Y46" s="6">
        <v>165.53</v>
      </c>
      <c r="Z46" s="6"/>
      <c r="AA46" s="6"/>
    </row>
    <row r="47" spans="1:27" x14ac:dyDescent="0.2">
      <c r="A47" s="2">
        <v>107.69</v>
      </c>
      <c r="B47" s="2"/>
      <c r="C47" s="2"/>
      <c r="D47" s="2">
        <v>109.86</v>
      </c>
      <c r="E47" s="2"/>
      <c r="F47" s="2"/>
      <c r="G47" s="3">
        <v>130.26</v>
      </c>
      <c r="H47" s="3"/>
      <c r="I47" s="3"/>
      <c r="J47" s="3">
        <v>129.99</v>
      </c>
      <c r="K47" s="3"/>
      <c r="L47" s="3"/>
      <c r="M47" s="4">
        <v>96.744</v>
      </c>
      <c r="N47" s="4"/>
      <c r="O47" s="4"/>
      <c r="P47" s="6">
        <v>121.87</v>
      </c>
      <c r="Q47" s="6"/>
      <c r="R47" s="6"/>
      <c r="S47" s="6">
        <v>134.16</v>
      </c>
      <c r="T47" s="6"/>
      <c r="U47" s="6"/>
      <c r="V47" s="6">
        <v>141.13</v>
      </c>
      <c r="W47" s="6"/>
      <c r="X47" s="6"/>
      <c r="Y47" s="6">
        <v>165.53</v>
      </c>
      <c r="Z47" s="6"/>
      <c r="AA47" s="6"/>
    </row>
    <row r="48" spans="1:27" x14ac:dyDescent="0.2">
      <c r="A48" s="2">
        <v>107.69</v>
      </c>
      <c r="B48" s="2"/>
      <c r="C48" s="2"/>
      <c r="D48" s="2">
        <v>118.1</v>
      </c>
      <c r="E48" s="2"/>
      <c r="F48" s="2"/>
      <c r="G48" s="3">
        <v>129.16999999999999</v>
      </c>
      <c r="H48" s="3"/>
      <c r="I48" s="3"/>
      <c r="J48" s="3">
        <v>144.75</v>
      </c>
      <c r="K48" s="3"/>
      <c r="L48" s="3"/>
      <c r="M48" s="4">
        <v>96.744</v>
      </c>
      <c r="N48" s="4"/>
      <c r="O48" s="4"/>
      <c r="P48" s="6">
        <v>119.01</v>
      </c>
      <c r="Q48" s="6"/>
      <c r="R48" s="6"/>
      <c r="S48" s="6">
        <v>134.16</v>
      </c>
      <c r="T48" s="6"/>
      <c r="U48" s="6"/>
      <c r="V48" s="6">
        <v>141.13</v>
      </c>
      <c r="W48" s="6"/>
      <c r="X48" s="6"/>
      <c r="Y48" s="6">
        <v>175.08</v>
      </c>
      <c r="Z48" s="6"/>
      <c r="AA48" s="6"/>
    </row>
    <row r="49" spans="1:27" x14ac:dyDescent="0.2">
      <c r="A49" s="2">
        <v>111.3</v>
      </c>
      <c r="B49" s="2"/>
      <c r="C49" s="2"/>
      <c r="D49" s="2">
        <v>118.1</v>
      </c>
      <c r="E49" s="2"/>
      <c r="F49" s="2"/>
      <c r="G49" s="3">
        <v>129.16999999999999</v>
      </c>
      <c r="H49" s="3"/>
      <c r="I49" s="3"/>
      <c r="J49" s="3">
        <v>144.75</v>
      </c>
      <c r="K49" s="3"/>
      <c r="L49" s="3"/>
      <c r="M49" s="4">
        <v>100.32</v>
      </c>
      <c r="N49" s="4"/>
      <c r="O49" s="4"/>
      <c r="P49" s="6">
        <v>119.01</v>
      </c>
      <c r="Q49" s="6"/>
      <c r="R49" s="6"/>
      <c r="S49" s="6">
        <v>129.4</v>
      </c>
      <c r="T49" s="6"/>
      <c r="U49" s="6"/>
      <c r="V49" s="6">
        <v>145.03</v>
      </c>
      <c r="W49" s="6"/>
      <c r="X49" s="6"/>
      <c r="Y49" s="6">
        <v>175.08</v>
      </c>
      <c r="Z49" s="6"/>
      <c r="AA49" s="6"/>
    </row>
    <row r="50" spans="1:27" x14ac:dyDescent="0.2">
      <c r="A50" s="2">
        <v>111.3</v>
      </c>
      <c r="B50" s="2"/>
      <c r="C50" s="2"/>
      <c r="D50" s="2">
        <v>110.72</v>
      </c>
      <c r="E50" s="2"/>
      <c r="F50" s="2"/>
      <c r="G50" s="3">
        <v>131.6</v>
      </c>
      <c r="H50" s="3"/>
      <c r="I50" s="3"/>
      <c r="J50" s="3">
        <v>134.4</v>
      </c>
      <c r="K50" s="3"/>
      <c r="L50" s="3"/>
      <c r="M50" s="4">
        <v>100.32</v>
      </c>
      <c r="N50" s="4"/>
      <c r="O50" s="4"/>
      <c r="P50" s="6">
        <v>115.57</v>
      </c>
      <c r="Q50" s="6"/>
      <c r="R50" s="6"/>
      <c r="S50" s="6">
        <v>129.4</v>
      </c>
      <c r="T50" s="6"/>
      <c r="U50" s="6"/>
      <c r="V50" s="6">
        <v>145.03</v>
      </c>
      <c r="W50" s="6"/>
      <c r="X50" s="6"/>
      <c r="Y50" s="6">
        <v>174.86</v>
      </c>
      <c r="Z50" s="6"/>
      <c r="AA50" s="6"/>
    </row>
    <row r="51" spans="1:27" x14ac:dyDescent="0.2">
      <c r="A51" s="2">
        <v>115.71</v>
      </c>
      <c r="B51" s="2"/>
      <c r="C51" s="2"/>
      <c r="D51" s="2">
        <v>110.72</v>
      </c>
      <c r="E51" s="2"/>
      <c r="F51" s="2"/>
      <c r="G51" s="3">
        <v>131.6</v>
      </c>
      <c r="H51" s="3"/>
      <c r="I51" s="3"/>
      <c r="J51" s="3">
        <v>134.4</v>
      </c>
      <c r="K51" s="3"/>
      <c r="L51" s="3"/>
      <c r="M51" s="4">
        <v>97.540999999999997</v>
      </c>
      <c r="N51" s="4"/>
      <c r="O51" s="4"/>
      <c r="P51" s="6">
        <v>115.57</v>
      </c>
      <c r="Q51" s="6"/>
      <c r="R51" s="6"/>
      <c r="S51" s="6">
        <v>132.46</v>
      </c>
      <c r="T51" s="6"/>
      <c r="U51" s="6"/>
      <c r="V51" s="6">
        <v>143.03</v>
      </c>
      <c r="W51" s="6"/>
      <c r="X51" s="6"/>
      <c r="Y51" s="6">
        <v>174.86</v>
      </c>
      <c r="Z51" s="6"/>
      <c r="AA51" s="6"/>
    </row>
    <row r="52" spans="1:27" x14ac:dyDescent="0.2">
      <c r="A52" s="2">
        <v>115.71</v>
      </c>
      <c r="B52" s="2"/>
      <c r="C52" s="2"/>
      <c r="D52" s="2">
        <v>108.8</v>
      </c>
      <c r="E52" s="2"/>
      <c r="F52" s="2"/>
      <c r="G52" s="3">
        <v>135.61000000000001</v>
      </c>
      <c r="H52" s="3"/>
      <c r="I52" s="3"/>
      <c r="J52" s="3">
        <v>130.13999999999999</v>
      </c>
      <c r="K52" s="3"/>
      <c r="L52" s="3"/>
      <c r="M52" s="4">
        <v>97.540999999999997</v>
      </c>
      <c r="N52" s="4"/>
      <c r="O52" s="4"/>
      <c r="P52" s="6">
        <v>122.95</v>
      </c>
      <c r="Q52" s="6"/>
      <c r="R52" s="6"/>
      <c r="S52" s="6">
        <v>132.46</v>
      </c>
      <c r="T52" s="6"/>
      <c r="U52" s="6"/>
      <c r="V52" s="6">
        <v>143.03</v>
      </c>
      <c r="W52" s="6"/>
      <c r="X52" s="6"/>
      <c r="Y52" s="6">
        <v>177.13</v>
      </c>
      <c r="Z52" s="6"/>
      <c r="AA52" s="6"/>
    </row>
    <row r="53" spans="1:27" x14ac:dyDescent="0.2">
      <c r="A53" s="2">
        <v>110.04</v>
      </c>
      <c r="B53" s="2"/>
      <c r="C53" s="2"/>
      <c r="D53" s="2">
        <v>108.8</v>
      </c>
      <c r="E53" s="2"/>
      <c r="F53" s="2"/>
      <c r="G53" s="3">
        <v>135.61000000000001</v>
      </c>
      <c r="H53" s="3"/>
      <c r="I53" s="3"/>
      <c r="J53" s="3">
        <v>130.13999999999999</v>
      </c>
      <c r="K53" s="3"/>
      <c r="L53" s="3"/>
      <c r="M53" s="4">
        <v>97.334999999999994</v>
      </c>
      <c r="N53" s="4"/>
      <c r="O53" s="4"/>
      <c r="P53" s="6">
        <v>122.95</v>
      </c>
      <c r="Q53" s="6"/>
      <c r="R53" s="6"/>
      <c r="S53" s="6">
        <v>131.19999999999999</v>
      </c>
      <c r="T53" s="6"/>
      <c r="U53" s="6"/>
      <c r="V53" s="6">
        <v>141.74</v>
      </c>
      <c r="W53" s="6"/>
      <c r="X53" s="6"/>
      <c r="Y53" s="6">
        <v>177.13</v>
      </c>
      <c r="Z53" s="6"/>
      <c r="AA53" s="6"/>
    </row>
    <row r="54" spans="1:27" x14ac:dyDescent="0.2">
      <c r="A54" s="2">
        <v>110.04</v>
      </c>
      <c r="B54" s="2"/>
      <c r="C54" s="2"/>
      <c r="D54" s="2">
        <v>116.58</v>
      </c>
      <c r="E54" s="2"/>
      <c r="F54" s="2"/>
      <c r="G54" s="3">
        <v>133.80000000000001</v>
      </c>
      <c r="H54" s="3"/>
      <c r="I54" s="3"/>
      <c r="J54" s="3">
        <v>130.58000000000001</v>
      </c>
      <c r="K54" s="3"/>
      <c r="L54" s="3"/>
      <c r="M54" s="4">
        <v>97.334999999999994</v>
      </c>
      <c r="N54" s="4"/>
      <c r="O54" s="4"/>
      <c r="P54" s="6">
        <v>118.33</v>
      </c>
      <c r="Q54" s="6"/>
      <c r="R54" s="6"/>
      <c r="S54" s="6">
        <v>131.19999999999999</v>
      </c>
      <c r="T54" s="6"/>
      <c r="U54" s="6"/>
      <c r="V54" s="6">
        <v>141.74</v>
      </c>
      <c r="W54" s="6"/>
      <c r="X54" s="6"/>
      <c r="Y54" s="6">
        <v>174.84</v>
      </c>
      <c r="Z54" s="6"/>
      <c r="AA54" s="6"/>
    </row>
    <row r="55" spans="1:27" x14ac:dyDescent="0.2">
      <c r="A55" s="2">
        <v>111.91</v>
      </c>
      <c r="B55" s="2"/>
      <c r="C55" s="2"/>
      <c r="D55" s="2">
        <v>116.58</v>
      </c>
      <c r="E55" s="2"/>
      <c r="F55" s="2"/>
      <c r="G55" s="3">
        <v>133.80000000000001</v>
      </c>
      <c r="H55" s="3"/>
      <c r="I55" s="3"/>
      <c r="J55" s="3">
        <v>130.58000000000001</v>
      </c>
      <c r="K55" s="3"/>
      <c r="L55" s="3"/>
      <c r="M55" s="4">
        <v>103.38</v>
      </c>
      <c r="N55" s="4"/>
      <c r="O55" s="4"/>
      <c r="P55" s="6">
        <v>118.33</v>
      </c>
      <c r="Q55" s="6"/>
      <c r="R55" s="6"/>
      <c r="S55" s="6">
        <v>129.19</v>
      </c>
      <c r="T55" s="6"/>
      <c r="U55" s="6"/>
      <c r="V55" s="6">
        <v>142.4</v>
      </c>
      <c r="W55" s="6"/>
      <c r="X55" s="6"/>
      <c r="Y55" s="6">
        <v>174.84</v>
      </c>
      <c r="Z55" s="6"/>
      <c r="AA55" s="6"/>
    </row>
    <row r="56" spans="1:27" x14ac:dyDescent="0.2">
      <c r="A56" s="2">
        <v>111.91</v>
      </c>
      <c r="B56" s="2"/>
      <c r="C56" s="2"/>
      <c r="D56" s="2">
        <v>108.58</v>
      </c>
      <c r="E56" s="2"/>
      <c r="F56" s="2"/>
      <c r="G56" s="3">
        <v>140.34</v>
      </c>
      <c r="H56" s="3"/>
      <c r="I56" s="3"/>
      <c r="J56" s="3">
        <v>123.84</v>
      </c>
      <c r="K56" s="3"/>
      <c r="L56" s="3"/>
      <c r="M56" s="4">
        <v>103.38</v>
      </c>
      <c r="N56" s="4"/>
      <c r="O56" s="4"/>
      <c r="P56" s="6">
        <v>115.37</v>
      </c>
      <c r="Q56" s="6"/>
      <c r="R56" s="6"/>
      <c r="S56" s="6">
        <v>129.19</v>
      </c>
      <c r="T56" s="6"/>
      <c r="U56" s="6"/>
      <c r="V56" s="6">
        <v>142.4</v>
      </c>
      <c r="W56" s="6"/>
      <c r="X56" s="6"/>
      <c r="Y56" s="6">
        <v>179.9</v>
      </c>
      <c r="Z56" s="6"/>
      <c r="AA56" s="6"/>
    </row>
    <row r="57" spans="1:27" x14ac:dyDescent="0.2">
      <c r="A57" s="2">
        <v>113.13</v>
      </c>
      <c r="B57" s="2"/>
      <c r="C57" s="2"/>
      <c r="D57" s="2">
        <v>108.58</v>
      </c>
      <c r="E57" s="2"/>
      <c r="F57" s="2"/>
      <c r="G57" s="3">
        <v>140.34</v>
      </c>
      <c r="H57" s="3"/>
      <c r="I57" s="3"/>
      <c r="J57" s="3">
        <v>123.84</v>
      </c>
      <c r="K57" s="3"/>
      <c r="L57" s="3"/>
      <c r="M57" s="4">
        <v>100.45</v>
      </c>
      <c r="N57" s="4"/>
      <c r="O57" s="4"/>
      <c r="P57" s="6">
        <v>115.37</v>
      </c>
      <c r="Q57" s="6"/>
      <c r="R57" s="6"/>
      <c r="S57" s="6">
        <v>129.93</v>
      </c>
      <c r="T57" s="6"/>
      <c r="U57" s="6"/>
      <c r="V57" s="6">
        <v>145.81</v>
      </c>
      <c r="W57" s="6"/>
      <c r="X57" s="6"/>
      <c r="Y57" s="6">
        <v>179.9</v>
      </c>
      <c r="Z57" s="6"/>
      <c r="AA57" s="6"/>
    </row>
    <row r="58" spans="1:27" x14ac:dyDescent="0.2">
      <c r="A58" s="2">
        <v>113.13</v>
      </c>
      <c r="B58" s="2"/>
      <c r="C58" s="2"/>
      <c r="D58" s="2">
        <v>113.05</v>
      </c>
      <c r="E58" s="2"/>
      <c r="F58" s="2"/>
      <c r="G58" s="3">
        <v>136.77000000000001</v>
      </c>
      <c r="H58" s="3"/>
      <c r="I58" s="3"/>
      <c r="J58" s="3">
        <v>123.47</v>
      </c>
      <c r="K58" s="3"/>
      <c r="L58" s="3"/>
      <c r="M58" s="4">
        <v>100.45</v>
      </c>
      <c r="N58" s="4"/>
      <c r="O58" s="4"/>
      <c r="P58" s="6">
        <v>123.6</v>
      </c>
      <c r="Q58" s="6"/>
      <c r="R58" s="6"/>
      <c r="S58" s="6">
        <v>129.93</v>
      </c>
      <c r="T58" s="6"/>
      <c r="U58" s="6"/>
      <c r="V58" s="6">
        <v>145.81</v>
      </c>
      <c r="W58" s="6"/>
      <c r="X58" s="6"/>
      <c r="Y58" s="6">
        <v>171.74</v>
      </c>
      <c r="Z58" s="6"/>
      <c r="AA58" s="6"/>
    </row>
    <row r="59" spans="1:27" x14ac:dyDescent="0.2">
      <c r="A59" s="2">
        <v>107.98</v>
      </c>
      <c r="B59" s="2"/>
      <c r="C59" s="2"/>
      <c r="D59" s="2">
        <v>113.05</v>
      </c>
      <c r="E59" s="2"/>
      <c r="F59" s="2"/>
      <c r="G59" s="3">
        <v>136.77000000000001</v>
      </c>
      <c r="H59" s="3"/>
      <c r="I59" s="3"/>
      <c r="J59" s="3">
        <v>123.47</v>
      </c>
      <c r="K59" s="3"/>
      <c r="L59" s="3"/>
      <c r="M59" s="4">
        <v>105.65</v>
      </c>
      <c r="N59" s="4"/>
      <c r="O59" s="4"/>
      <c r="P59" s="6">
        <v>123.6</v>
      </c>
      <c r="Q59" s="6"/>
      <c r="R59" s="6"/>
      <c r="S59" s="6">
        <v>129.56</v>
      </c>
      <c r="T59" s="6"/>
      <c r="U59" s="6"/>
      <c r="V59" s="6">
        <v>139.06</v>
      </c>
      <c r="W59" s="6"/>
      <c r="X59" s="6"/>
      <c r="Y59" s="6">
        <v>171.74</v>
      </c>
      <c r="Z59" s="6"/>
      <c r="AA59" s="6"/>
    </row>
    <row r="60" spans="1:27" x14ac:dyDescent="0.2">
      <c r="A60" s="2">
        <v>107.98</v>
      </c>
      <c r="B60" s="2"/>
      <c r="C60" s="2"/>
      <c r="D60" s="2">
        <v>119.67</v>
      </c>
      <c r="E60" s="2"/>
      <c r="F60" s="2"/>
      <c r="G60" s="3">
        <v>122.3</v>
      </c>
      <c r="H60" s="3"/>
      <c r="I60" s="3"/>
      <c r="J60" s="3">
        <v>134.66</v>
      </c>
      <c r="K60" s="3"/>
      <c r="L60" s="3"/>
      <c r="M60" s="4">
        <v>105.65</v>
      </c>
      <c r="N60" s="4"/>
      <c r="O60" s="4"/>
      <c r="P60" s="6">
        <v>112.98</v>
      </c>
      <c r="Q60" s="6"/>
      <c r="R60" s="6"/>
      <c r="S60" s="6">
        <v>129.56</v>
      </c>
      <c r="T60" s="6"/>
      <c r="U60" s="6"/>
      <c r="V60" s="6">
        <v>139.06</v>
      </c>
      <c r="W60" s="6"/>
      <c r="X60" s="6"/>
      <c r="Y60" s="6">
        <v>171.55</v>
      </c>
      <c r="Z60" s="6"/>
      <c r="AA60" s="6"/>
    </row>
    <row r="61" spans="1:27" x14ac:dyDescent="0.2">
      <c r="A61" s="2">
        <v>112.91</v>
      </c>
      <c r="B61" s="2"/>
      <c r="C61" s="2"/>
      <c r="D61" s="2">
        <v>119.67</v>
      </c>
      <c r="E61" s="2"/>
      <c r="F61" s="2"/>
      <c r="G61" s="3">
        <v>122.3</v>
      </c>
      <c r="H61" s="3"/>
      <c r="I61" s="3"/>
      <c r="J61" s="3">
        <v>134.66</v>
      </c>
      <c r="K61" s="3"/>
      <c r="L61" s="3"/>
      <c r="M61" s="4">
        <v>97.831000000000003</v>
      </c>
      <c r="N61" s="4"/>
      <c r="O61" s="4"/>
      <c r="P61" s="6">
        <v>112.98</v>
      </c>
      <c r="Q61" s="6"/>
      <c r="R61" s="6"/>
      <c r="S61" s="6">
        <v>127.14</v>
      </c>
      <c r="T61" s="6"/>
      <c r="U61" s="6"/>
      <c r="V61" s="6">
        <v>141.25</v>
      </c>
      <c r="W61" s="6"/>
      <c r="X61" s="6"/>
      <c r="Y61" s="6">
        <v>171.55</v>
      </c>
      <c r="Z61" s="6"/>
      <c r="AA61" s="6"/>
    </row>
    <row r="62" spans="1:27" x14ac:dyDescent="0.2">
      <c r="A62" s="2">
        <v>112.91</v>
      </c>
      <c r="B62" s="2"/>
      <c r="C62" s="2"/>
      <c r="D62" s="2">
        <v>113.66</v>
      </c>
      <c r="E62" s="2"/>
      <c r="F62" s="2"/>
      <c r="G62" s="3">
        <v>126.85</v>
      </c>
      <c r="H62" s="3"/>
      <c r="I62" s="3"/>
      <c r="J62" s="3">
        <v>126.47</v>
      </c>
      <c r="K62" s="3"/>
      <c r="L62" s="3"/>
      <c r="M62" s="4">
        <v>97.831000000000003</v>
      </c>
      <c r="N62" s="4"/>
      <c r="O62" s="4"/>
      <c r="P62" s="6">
        <v>124.31</v>
      </c>
      <c r="Q62" s="6"/>
      <c r="R62" s="6"/>
      <c r="S62" s="6">
        <v>127.14</v>
      </c>
      <c r="T62" s="6"/>
      <c r="U62" s="6"/>
      <c r="V62" s="6">
        <v>141.25</v>
      </c>
      <c r="W62" s="6"/>
      <c r="X62" s="6"/>
      <c r="Y62" s="6">
        <v>170.97</v>
      </c>
      <c r="Z62" s="6"/>
      <c r="AA62" s="6"/>
    </row>
    <row r="63" spans="1:27" x14ac:dyDescent="0.2">
      <c r="A63" s="2">
        <v>113.61</v>
      </c>
      <c r="B63" s="2"/>
      <c r="C63" s="2"/>
      <c r="D63" s="2">
        <v>113.66</v>
      </c>
      <c r="E63" s="2"/>
      <c r="F63" s="2"/>
      <c r="G63" s="3">
        <v>126.85</v>
      </c>
      <c r="H63" s="3"/>
      <c r="I63" s="3"/>
      <c r="J63" s="3">
        <v>126.47</v>
      </c>
      <c r="K63" s="3"/>
      <c r="L63" s="3"/>
      <c r="M63" s="4">
        <v>99.402000000000001</v>
      </c>
      <c r="N63" s="4"/>
      <c r="O63" s="4"/>
      <c r="P63" s="6">
        <v>124.31</v>
      </c>
      <c r="Q63" s="6"/>
      <c r="R63" s="6"/>
      <c r="S63" s="6">
        <v>132.16999999999999</v>
      </c>
      <c r="T63" s="6"/>
      <c r="U63" s="6"/>
      <c r="V63" s="6">
        <v>139.56</v>
      </c>
      <c r="W63" s="6"/>
      <c r="X63" s="6"/>
      <c r="Y63" s="6">
        <v>170.97</v>
      </c>
      <c r="Z63" s="6"/>
      <c r="AA63" s="6"/>
    </row>
    <row r="64" spans="1:27" x14ac:dyDescent="0.2">
      <c r="A64" s="2">
        <v>113.61</v>
      </c>
      <c r="B64" s="2"/>
      <c r="C64" s="2"/>
      <c r="D64" s="2">
        <v>112.41</v>
      </c>
      <c r="E64" s="2"/>
      <c r="F64" s="2"/>
      <c r="G64" s="3">
        <v>138.99</v>
      </c>
      <c r="H64" s="3"/>
      <c r="I64" s="3"/>
      <c r="J64" s="3">
        <v>128.38</v>
      </c>
      <c r="K64" s="3"/>
      <c r="L64" s="3"/>
      <c r="M64" s="4">
        <v>99.402000000000001</v>
      </c>
      <c r="N64" s="4"/>
      <c r="O64" s="4"/>
      <c r="P64" s="6">
        <v>122.86</v>
      </c>
      <c r="Q64" s="6"/>
      <c r="R64" s="6"/>
      <c r="S64" s="6">
        <v>132.16999999999999</v>
      </c>
      <c r="T64" s="6"/>
      <c r="U64" s="6"/>
      <c r="V64" s="6">
        <v>139.56</v>
      </c>
      <c r="W64" s="6"/>
      <c r="X64" s="6"/>
      <c r="Y64" s="6">
        <v>176.14</v>
      </c>
      <c r="Z64" s="6"/>
      <c r="AA64" s="6"/>
    </row>
    <row r="65" spans="1:27" x14ac:dyDescent="0.2">
      <c r="A65" s="2">
        <v>111.5</v>
      </c>
      <c r="B65" s="2"/>
      <c r="C65" s="2"/>
      <c r="D65" s="2">
        <v>112.41</v>
      </c>
      <c r="E65" s="2"/>
      <c r="F65" s="2"/>
      <c r="G65" s="3">
        <v>138.99</v>
      </c>
      <c r="H65" s="3"/>
      <c r="I65" s="3"/>
      <c r="J65" s="3">
        <v>128.38</v>
      </c>
      <c r="K65" s="3"/>
      <c r="L65" s="3"/>
      <c r="M65" s="4">
        <v>97.221000000000004</v>
      </c>
      <c r="N65" s="4"/>
      <c r="O65" s="4"/>
      <c r="P65" s="6">
        <v>122.86</v>
      </c>
      <c r="Q65" s="6"/>
      <c r="R65" s="6"/>
      <c r="S65" s="6">
        <v>131.97999999999999</v>
      </c>
      <c r="T65" s="6"/>
      <c r="U65" s="6"/>
      <c r="V65" s="6">
        <v>140.03</v>
      </c>
      <c r="W65" s="6"/>
      <c r="X65" s="6"/>
      <c r="Y65" s="6">
        <v>176.14</v>
      </c>
      <c r="Z65" s="6"/>
      <c r="AA65" s="6"/>
    </row>
    <row r="66" spans="1:27" x14ac:dyDescent="0.2">
      <c r="A66" s="2">
        <v>111.5</v>
      </c>
      <c r="B66" s="2"/>
      <c r="C66" s="2"/>
      <c r="D66" s="2">
        <v>123.29</v>
      </c>
      <c r="E66" s="2"/>
      <c r="F66" s="2"/>
      <c r="G66" s="3">
        <v>128.51</v>
      </c>
      <c r="H66" s="3"/>
      <c r="I66" s="3"/>
      <c r="J66" s="3">
        <v>141.33000000000001</v>
      </c>
      <c r="K66" s="3"/>
      <c r="L66" s="3"/>
      <c r="M66" s="4">
        <v>97.221000000000004</v>
      </c>
      <c r="N66" s="4"/>
      <c r="O66" s="4"/>
      <c r="P66" s="6">
        <v>115.07</v>
      </c>
      <c r="Q66" s="6"/>
      <c r="R66" s="6"/>
      <c r="S66" s="6">
        <v>131.97999999999999</v>
      </c>
      <c r="T66" s="6"/>
      <c r="U66" s="6"/>
      <c r="V66" s="6">
        <v>140.03</v>
      </c>
      <c r="W66" s="6"/>
      <c r="X66" s="6"/>
      <c r="Y66" s="6">
        <v>175.47</v>
      </c>
      <c r="Z66" s="6"/>
      <c r="AA66" s="6"/>
    </row>
    <row r="67" spans="1:27" x14ac:dyDescent="0.2">
      <c r="A67" s="2">
        <v>112.09</v>
      </c>
      <c r="B67" s="2"/>
      <c r="C67" s="2"/>
      <c r="D67" s="2">
        <v>123.29</v>
      </c>
      <c r="E67" s="2"/>
      <c r="F67" s="2"/>
      <c r="G67" s="3">
        <v>128.51</v>
      </c>
      <c r="H67" s="3"/>
      <c r="I67" s="3"/>
      <c r="J67" s="3">
        <v>141.33000000000001</v>
      </c>
      <c r="K67" s="3"/>
      <c r="L67" s="3"/>
      <c r="M67" s="4">
        <v>101.01</v>
      </c>
      <c r="N67" s="4"/>
      <c r="O67" s="4"/>
      <c r="P67" s="6">
        <v>115.07</v>
      </c>
      <c r="Q67" s="6"/>
      <c r="R67" s="6"/>
      <c r="S67" s="6">
        <v>128.59</v>
      </c>
      <c r="T67" s="6"/>
      <c r="U67" s="6"/>
      <c r="V67" s="6">
        <v>140.80000000000001</v>
      </c>
      <c r="W67" s="6"/>
      <c r="X67" s="6"/>
      <c r="Y67" s="6">
        <v>175.47</v>
      </c>
      <c r="Z67" s="6"/>
      <c r="AA67" s="6"/>
    </row>
    <row r="68" spans="1:27" x14ac:dyDescent="0.2">
      <c r="A68" s="2">
        <v>112.09</v>
      </c>
      <c r="B68" s="2"/>
      <c r="C68" s="2"/>
      <c r="D68" s="2">
        <v>113.28</v>
      </c>
      <c r="E68" s="2"/>
      <c r="F68" s="2"/>
      <c r="G68" s="3">
        <v>131.88</v>
      </c>
      <c r="H68" s="3"/>
      <c r="I68" s="3"/>
      <c r="J68" s="3">
        <v>129.11000000000001</v>
      </c>
      <c r="K68" s="3"/>
      <c r="L68" s="3"/>
      <c r="M68" s="4">
        <v>101.01</v>
      </c>
      <c r="N68" s="4"/>
      <c r="O68" s="4"/>
      <c r="P68" s="6">
        <v>119.58</v>
      </c>
      <c r="Q68" s="6"/>
      <c r="R68" s="6"/>
      <c r="S68" s="6">
        <v>128.59</v>
      </c>
      <c r="T68" s="6"/>
      <c r="U68" s="6"/>
      <c r="V68" s="6">
        <v>140.80000000000001</v>
      </c>
      <c r="W68" s="6"/>
      <c r="X68" s="6"/>
      <c r="Y68" s="6">
        <v>175.91</v>
      </c>
      <c r="Z68" s="6"/>
      <c r="AA68" s="6"/>
    </row>
    <row r="69" spans="1:27" x14ac:dyDescent="0.2">
      <c r="A69" s="2">
        <v>118.38</v>
      </c>
      <c r="B69" s="2"/>
      <c r="C69" s="2"/>
      <c r="D69" s="2">
        <v>113.28</v>
      </c>
      <c r="E69" s="2"/>
      <c r="F69" s="2"/>
      <c r="G69" s="3">
        <v>131.88</v>
      </c>
      <c r="H69" s="3"/>
      <c r="I69" s="3"/>
      <c r="J69" s="3">
        <v>129.11000000000001</v>
      </c>
      <c r="K69" s="3"/>
      <c r="L69" s="3"/>
      <c r="M69" s="4">
        <v>100.44</v>
      </c>
      <c r="N69" s="4"/>
      <c r="O69" s="4"/>
      <c r="P69" s="6">
        <v>119.58</v>
      </c>
      <c r="Q69" s="6"/>
      <c r="R69" s="6"/>
      <c r="S69" s="6">
        <v>127.59</v>
      </c>
      <c r="T69" s="6"/>
      <c r="U69" s="6"/>
      <c r="V69" s="6">
        <v>142.96</v>
      </c>
      <c r="W69" s="6"/>
      <c r="X69" s="6"/>
      <c r="Y69" s="6">
        <v>175.96</v>
      </c>
      <c r="Z69" s="6"/>
      <c r="AA69" s="6"/>
    </row>
    <row r="70" spans="1:27" x14ac:dyDescent="0.2">
      <c r="A70" s="2">
        <v>118.38</v>
      </c>
      <c r="B70" s="2"/>
      <c r="C70" s="2"/>
      <c r="D70" s="2">
        <v>108.77</v>
      </c>
      <c r="E70" s="2"/>
      <c r="F70" s="2"/>
      <c r="G70" s="3">
        <v>130.57</v>
      </c>
      <c r="H70" s="3"/>
      <c r="I70" s="3"/>
      <c r="J70" s="3">
        <v>123.35</v>
      </c>
      <c r="K70" s="3"/>
      <c r="L70" s="3"/>
      <c r="M70" s="4">
        <v>100.44</v>
      </c>
      <c r="N70" s="4"/>
      <c r="O70" s="4"/>
      <c r="P70" s="6">
        <v>121.66</v>
      </c>
      <c r="Q70" s="6"/>
      <c r="R70" s="6"/>
      <c r="S70" s="6">
        <v>127.59</v>
      </c>
      <c r="T70" s="6"/>
      <c r="U70" s="6"/>
      <c r="V70" s="6">
        <v>142.96</v>
      </c>
      <c r="W70" s="6"/>
      <c r="X70" s="6"/>
      <c r="Y70" s="6">
        <v>175.96</v>
      </c>
      <c r="Z70" s="6"/>
      <c r="AA70" s="6"/>
    </row>
    <row r="71" spans="1:27" x14ac:dyDescent="0.2">
      <c r="A71" s="2">
        <v>114.07</v>
      </c>
      <c r="B71" s="2"/>
      <c r="C71" s="2"/>
      <c r="D71" s="2">
        <v>111.52</v>
      </c>
      <c r="E71" s="2"/>
      <c r="F71" s="2"/>
      <c r="G71" s="3">
        <v>130.57</v>
      </c>
      <c r="H71" s="3"/>
      <c r="I71" s="3"/>
      <c r="J71" s="3">
        <v>123.35</v>
      </c>
      <c r="K71" s="3"/>
      <c r="L71" s="3"/>
      <c r="M71" s="4">
        <v>98.320999999999998</v>
      </c>
      <c r="N71" s="4"/>
      <c r="O71" s="4"/>
      <c r="P71" s="6">
        <v>121.66</v>
      </c>
      <c r="Q71" s="6"/>
      <c r="R71" s="6"/>
      <c r="S71" s="6">
        <v>132.34</v>
      </c>
      <c r="T71" s="6"/>
      <c r="U71" s="6"/>
      <c r="V71" s="6">
        <v>139.71</v>
      </c>
      <c r="W71" s="6"/>
      <c r="X71" s="6"/>
      <c r="Y71" s="6">
        <v>181.41</v>
      </c>
      <c r="Z71" s="6"/>
      <c r="AA71" s="6"/>
    </row>
    <row r="72" spans="1:27" x14ac:dyDescent="0.2">
      <c r="A72" s="2">
        <v>114.07</v>
      </c>
      <c r="B72" s="2"/>
      <c r="C72" s="2"/>
      <c r="D72" s="2">
        <v>111.52</v>
      </c>
      <c r="E72" s="2"/>
      <c r="F72" s="2"/>
      <c r="G72" s="3">
        <v>127.21</v>
      </c>
      <c r="H72" s="3"/>
      <c r="I72" s="3"/>
      <c r="J72" s="3">
        <v>128.44</v>
      </c>
      <c r="K72" s="3"/>
      <c r="L72" s="3"/>
      <c r="M72" s="4">
        <v>98.320999999999998</v>
      </c>
      <c r="N72" s="4"/>
      <c r="O72" s="4"/>
      <c r="P72" s="6">
        <v>119.29</v>
      </c>
      <c r="Q72" s="6"/>
      <c r="R72" s="6"/>
      <c r="S72" s="6">
        <v>132.34</v>
      </c>
      <c r="T72" s="6"/>
      <c r="U72" s="6"/>
      <c r="V72" s="6">
        <v>139.71</v>
      </c>
      <c r="W72" s="6"/>
      <c r="X72" s="6"/>
      <c r="Y72" s="6">
        <v>181.41</v>
      </c>
      <c r="Z72" s="6"/>
      <c r="AA72" s="6"/>
    </row>
    <row r="73" spans="1:27" x14ac:dyDescent="0.2">
      <c r="A73" s="2">
        <v>116.16</v>
      </c>
      <c r="B73" s="2"/>
      <c r="C73" s="2"/>
      <c r="D73" s="2">
        <v>109.93</v>
      </c>
      <c r="E73" s="2"/>
      <c r="F73" s="2"/>
      <c r="G73" s="3">
        <v>127.21</v>
      </c>
      <c r="H73" s="3"/>
      <c r="I73" s="3"/>
      <c r="J73" s="3">
        <v>128.44</v>
      </c>
      <c r="K73" s="3"/>
      <c r="L73" s="3"/>
      <c r="M73" s="4">
        <v>97.855000000000004</v>
      </c>
      <c r="N73" s="4"/>
      <c r="O73" s="4"/>
      <c r="P73" s="6">
        <v>119.29</v>
      </c>
      <c r="Q73" s="6"/>
      <c r="R73" s="6"/>
      <c r="S73" s="6">
        <v>128.76</v>
      </c>
      <c r="T73" s="6"/>
      <c r="U73" s="6"/>
      <c r="V73" s="6">
        <v>147.55000000000001</v>
      </c>
      <c r="W73" s="6"/>
      <c r="X73" s="6"/>
      <c r="Y73" s="6">
        <v>180.9</v>
      </c>
      <c r="Z73" s="6"/>
      <c r="AA73" s="6"/>
    </row>
    <row r="74" spans="1:27" x14ac:dyDescent="0.2">
      <c r="A74" s="2">
        <v>116.16</v>
      </c>
      <c r="B74" s="2"/>
      <c r="C74" s="2"/>
      <c r="D74" s="2">
        <v>109.93</v>
      </c>
      <c r="E74" s="2"/>
      <c r="F74" s="2"/>
      <c r="G74" s="3">
        <v>128.53</v>
      </c>
      <c r="H74" s="3"/>
      <c r="I74" s="3"/>
      <c r="J74" s="3">
        <v>130.61000000000001</v>
      </c>
      <c r="K74" s="3"/>
      <c r="L74" s="3"/>
      <c r="M74" s="4">
        <v>97.855000000000004</v>
      </c>
      <c r="N74" s="4"/>
      <c r="O74" s="4"/>
      <c r="P74" s="6">
        <v>120.91</v>
      </c>
      <c r="Q74" s="6"/>
      <c r="R74" s="6"/>
      <c r="S74" s="6">
        <v>130.94</v>
      </c>
      <c r="T74" s="6"/>
      <c r="U74" s="6"/>
      <c r="V74" s="6">
        <v>147.55000000000001</v>
      </c>
      <c r="W74" s="6"/>
      <c r="X74" s="6"/>
      <c r="Y74" s="6">
        <v>180.9</v>
      </c>
      <c r="Z74" s="6"/>
      <c r="AA74" s="6"/>
    </row>
    <row r="75" spans="1:27" x14ac:dyDescent="0.2">
      <c r="A75" s="2">
        <v>115.26</v>
      </c>
      <c r="B75" s="2"/>
      <c r="C75" s="2"/>
      <c r="D75" s="2">
        <v>107.85</v>
      </c>
      <c r="E75" s="2"/>
      <c r="F75" s="2"/>
      <c r="G75" s="3">
        <v>128.53</v>
      </c>
      <c r="H75" s="3"/>
      <c r="I75" s="3"/>
      <c r="J75" s="3">
        <v>130.61000000000001</v>
      </c>
      <c r="K75" s="3"/>
      <c r="L75" s="3"/>
      <c r="M75" s="4">
        <v>108.55</v>
      </c>
      <c r="N75" s="4"/>
      <c r="O75" s="4"/>
      <c r="P75" s="6">
        <v>120.91</v>
      </c>
      <c r="Q75" s="6"/>
      <c r="R75" s="6"/>
      <c r="S75" s="6">
        <v>130.94</v>
      </c>
      <c r="T75" s="6"/>
      <c r="U75" s="6"/>
      <c r="V75" s="6">
        <v>144.97999999999999</v>
      </c>
      <c r="W75" s="6"/>
      <c r="X75" s="6"/>
      <c r="Y75" s="6">
        <v>175.82</v>
      </c>
      <c r="Z75" s="6"/>
      <c r="AA75" s="6"/>
    </row>
    <row r="76" spans="1:27" x14ac:dyDescent="0.2">
      <c r="A76" s="2">
        <v>115.26</v>
      </c>
      <c r="B76" s="2"/>
      <c r="C76" s="2"/>
      <c r="D76" s="2">
        <v>107.85</v>
      </c>
      <c r="E76" s="2"/>
      <c r="F76" s="2"/>
      <c r="G76" s="3">
        <v>129.63</v>
      </c>
      <c r="H76" s="3"/>
      <c r="I76" s="3"/>
      <c r="J76" s="3">
        <v>124.62</v>
      </c>
      <c r="K76" s="3"/>
      <c r="L76" s="3"/>
      <c r="M76" s="4">
        <v>108.55</v>
      </c>
      <c r="N76" s="4"/>
      <c r="O76" s="4"/>
      <c r="P76" s="6">
        <v>121.27</v>
      </c>
      <c r="Q76" s="6"/>
      <c r="R76" s="6"/>
      <c r="S76" s="6">
        <v>130.99</v>
      </c>
      <c r="T76" s="6"/>
      <c r="U76" s="6"/>
      <c r="V76" s="6">
        <v>144.97999999999999</v>
      </c>
      <c r="W76" s="6"/>
      <c r="X76" s="6"/>
      <c r="Y76" s="6">
        <v>175.82</v>
      </c>
      <c r="Z76" s="6"/>
      <c r="AA76" s="6"/>
    </row>
    <row r="77" spans="1:27" x14ac:dyDescent="0.2">
      <c r="A77" s="2">
        <v>111.56</v>
      </c>
      <c r="B77" s="2"/>
      <c r="C77" s="2"/>
      <c r="D77" s="2">
        <v>112.79</v>
      </c>
      <c r="E77" s="2"/>
      <c r="F77" s="2"/>
      <c r="G77" s="3">
        <v>129.63</v>
      </c>
      <c r="H77" s="3"/>
      <c r="I77" s="3"/>
      <c r="J77" s="3">
        <v>124.62</v>
      </c>
      <c r="K77" s="3"/>
      <c r="L77" s="3"/>
      <c r="M77" s="4">
        <v>104.48</v>
      </c>
      <c r="N77" s="4"/>
      <c r="O77" s="4"/>
      <c r="P77" s="6">
        <v>121.27</v>
      </c>
      <c r="Q77" s="6"/>
      <c r="R77" s="6"/>
      <c r="S77" s="6">
        <v>130.99</v>
      </c>
      <c r="T77" s="6"/>
      <c r="U77" s="6"/>
      <c r="V77" s="6">
        <v>139.97</v>
      </c>
      <c r="W77" s="6"/>
      <c r="X77" s="6"/>
      <c r="Y77" s="6">
        <v>176.38</v>
      </c>
      <c r="Z77" s="6"/>
      <c r="AA77" s="6"/>
    </row>
    <row r="78" spans="1:27" x14ac:dyDescent="0.2">
      <c r="A78" s="2">
        <v>111.56</v>
      </c>
      <c r="B78" s="2"/>
      <c r="C78" s="2"/>
      <c r="D78" s="2">
        <v>112.79</v>
      </c>
      <c r="E78" s="2"/>
      <c r="F78" s="2"/>
      <c r="G78" s="3">
        <v>122.71</v>
      </c>
      <c r="H78" s="3"/>
      <c r="I78" s="3"/>
      <c r="J78" s="3">
        <v>133.94999999999999</v>
      </c>
      <c r="K78" s="3"/>
      <c r="L78" s="3"/>
      <c r="M78" s="4">
        <v>104.48</v>
      </c>
      <c r="N78" s="4"/>
      <c r="O78" s="4"/>
      <c r="P78" s="6">
        <v>120.25</v>
      </c>
      <c r="Q78" s="6"/>
      <c r="R78" s="6"/>
      <c r="S78" s="6">
        <v>129.88</v>
      </c>
      <c r="T78" s="6"/>
      <c r="U78" s="6"/>
      <c r="V78" s="6">
        <v>139.97</v>
      </c>
      <c r="W78" s="6"/>
      <c r="X78" s="6"/>
      <c r="Y78" s="6">
        <v>176.38</v>
      </c>
      <c r="Z78" s="6"/>
      <c r="AA78" s="6"/>
    </row>
    <row r="79" spans="1:27" x14ac:dyDescent="0.2">
      <c r="A79" s="2">
        <v>110.92</v>
      </c>
      <c r="B79" s="2"/>
      <c r="C79" s="2"/>
      <c r="D79" s="2">
        <v>110.26</v>
      </c>
      <c r="E79" s="2"/>
      <c r="F79" s="2"/>
      <c r="G79" s="3">
        <v>122.71</v>
      </c>
      <c r="H79" s="3"/>
      <c r="I79" s="3"/>
      <c r="J79" s="3">
        <v>133.94999999999999</v>
      </c>
      <c r="K79" s="3"/>
      <c r="L79" s="3"/>
      <c r="M79" s="4">
        <v>98.85</v>
      </c>
      <c r="N79" s="4"/>
      <c r="O79" s="4"/>
      <c r="P79" s="6">
        <v>120.25</v>
      </c>
      <c r="Q79" s="6"/>
      <c r="R79" s="6"/>
      <c r="S79" s="6">
        <v>129.88</v>
      </c>
      <c r="T79" s="6"/>
      <c r="U79" s="6"/>
      <c r="V79" s="6">
        <v>141.51</v>
      </c>
      <c r="W79" s="6"/>
      <c r="X79" s="6"/>
      <c r="Y79" s="6">
        <v>168.92</v>
      </c>
      <c r="Z79" s="6"/>
      <c r="AA79" s="6"/>
    </row>
    <row r="80" spans="1:27" x14ac:dyDescent="0.2">
      <c r="A80" s="2">
        <v>110.92</v>
      </c>
      <c r="B80" s="2"/>
      <c r="C80" s="2"/>
      <c r="D80" s="2">
        <v>110.26</v>
      </c>
      <c r="E80" s="2"/>
      <c r="F80" s="2"/>
      <c r="G80" s="3">
        <v>126.69</v>
      </c>
      <c r="H80" s="3"/>
      <c r="I80" s="3"/>
      <c r="J80" s="3">
        <v>134.93</v>
      </c>
      <c r="K80" s="3"/>
      <c r="L80" s="3"/>
      <c r="M80" s="4">
        <v>98.85</v>
      </c>
      <c r="N80" s="4"/>
      <c r="O80" s="4"/>
      <c r="P80" s="6">
        <v>119.05</v>
      </c>
      <c r="Q80" s="6"/>
      <c r="R80" s="6"/>
      <c r="S80" s="6">
        <v>127.7</v>
      </c>
      <c r="T80" s="6"/>
      <c r="U80" s="6"/>
      <c r="V80" s="6">
        <v>141.51</v>
      </c>
      <c r="W80" s="6"/>
      <c r="X80" s="6"/>
      <c r="Y80" s="6">
        <v>168.92</v>
      </c>
      <c r="Z80" s="6"/>
      <c r="AA80" s="6"/>
    </row>
    <row r="81" spans="1:27" x14ac:dyDescent="0.2">
      <c r="A81" s="2">
        <v>112.22</v>
      </c>
      <c r="B81" s="2"/>
      <c r="C81" s="2"/>
      <c r="D81" s="2">
        <v>107.34</v>
      </c>
      <c r="E81" s="2"/>
      <c r="F81" s="2"/>
      <c r="G81" s="3">
        <v>126.69</v>
      </c>
      <c r="H81" s="3"/>
      <c r="I81" s="3"/>
      <c r="J81" s="3">
        <v>134.93</v>
      </c>
      <c r="K81" s="3"/>
      <c r="L81" s="3"/>
      <c r="M81" s="4">
        <v>100.69</v>
      </c>
      <c r="N81" s="4"/>
      <c r="O81" s="4"/>
      <c r="P81" s="6">
        <v>119.05</v>
      </c>
      <c r="Q81" s="6"/>
      <c r="R81" s="6"/>
      <c r="S81" s="6">
        <v>127.7</v>
      </c>
      <c r="T81" s="6"/>
      <c r="U81" s="6"/>
      <c r="V81" s="6">
        <v>139.79</v>
      </c>
      <c r="W81" s="6"/>
      <c r="X81" s="6"/>
      <c r="Y81" s="6">
        <v>175.42</v>
      </c>
      <c r="Z81" s="6"/>
      <c r="AA81" s="6"/>
    </row>
    <row r="82" spans="1:27" x14ac:dyDescent="0.2">
      <c r="A82" s="2">
        <v>112.22</v>
      </c>
      <c r="B82" s="2"/>
      <c r="C82" s="2"/>
      <c r="D82" s="2">
        <v>107.34</v>
      </c>
      <c r="E82" s="2"/>
      <c r="F82" s="2"/>
      <c r="G82" s="3">
        <v>138.53</v>
      </c>
      <c r="H82" s="3"/>
      <c r="I82" s="3"/>
      <c r="J82" s="3">
        <v>128.9</v>
      </c>
      <c r="K82" s="3"/>
      <c r="L82" s="3"/>
      <c r="M82" s="4">
        <v>100.69</v>
      </c>
      <c r="N82" s="4"/>
      <c r="O82" s="4"/>
      <c r="P82" s="6">
        <v>115.25</v>
      </c>
      <c r="Q82" s="6"/>
      <c r="R82" s="6"/>
      <c r="S82" s="6">
        <v>130.62</v>
      </c>
      <c r="T82" s="6"/>
      <c r="U82" s="6"/>
      <c r="V82" s="6">
        <v>139.79</v>
      </c>
      <c r="W82" s="6"/>
      <c r="X82" s="6"/>
      <c r="Y82" s="6">
        <v>175.42</v>
      </c>
      <c r="Z82" s="6"/>
      <c r="AA82" s="6"/>
    </row>
    <row r="83" spans="1:27" x14ac:dyDescent="0.2">
      <c r="A83" s="2">
        <v>109.8</v>
      </c>
      <c r="B83" s="2"/>
      <c r="C83" s="2"/>
      <c r="D83" s="2">
        <v>110.57</v>
      </c>
      <c r="E83" s="2"/>
      <c r="F83" s="2"/>
      <c r="G83" s="3">
        <v>138.53</v>
      </c>
      <c r="H83" s="3"/>
      <c r="I83" s="3"/>
      <c r="J83" s="3">
        <v>128.9</v>
      </c>
      <c r="K83" s="3"/>
      <c r="L83" s="3"/>
      <c r="M83" s="4">
        <v>99.742999999999995</v>
      </c>
      <c r="N83" s="4"/>
      <c r="O83" s="4"/>
      <c r="P83" s="6">
        <v>115.25</v>
      </c>
      <c r="Q83" s="6"/>
      <c r="R83" s="6"/>
      <c r="S83" s="6">
        <v>130.62</v>
      </c>
      <c r="T83" s="6"/>
      <c r="U83" s="6"/>
      <c r="V83" s="6">
        <v>139.34</v>
      </c>
      <c r="W83" s="6"/>
      <c r="X83" s="6"/>
      <c r="Y83" s="6">
        <v>180.11</v>
      </c>
      <c r="Z83" s="6"/>
      <c r="AA83" s="6"/>
    </row>
    <row r="84" spans="1:27" x14ac:dyDescent="0.2">
      <c r="A84" s="2">
        <v>109.8</v>
      </c>
      <c r="B84" s="2"/>
      <c r="C84" s="2"/>
      <c r="D84" s="2">
        <v>110.57</v>
      </c>
      <c r="E84" s="2"/>
      <c r="F84" s="2"/>
      <c r="G84" s="3">
        <v>128.30000000000001</v>
      </c>
      <c r="H84" s="3"/>
      <c r="I84" s="3"/>
      <c r="J84" s="3">
        <v>136.58000000000001</v>
      </c>
      <c r="K84" s="3"/>
      <c r="L84" s="3"/>
      <c r="M84" s="4">
        <v>99.742999999999995</v>
      </c>
      <c r="N84" s="4"/>
      <c r="O84" s="4"/>
      <c r="P84" s="6">
        <v>118.92</v>
      </c>
      <c r="Q84" s="6"/>
      <c r="R84" s="6"/>
      <c r="S84" s="6">
        <v>131.91999999999999</v>
      </c>
      <c r="T84" s="6"/>
      <c r="U84" s="6"/>
      <c r="V84" s="6">
        <v>139.34</v>
      </c>
      <c r="W84" s="6"/>
      <c r="X84" s="6"/>
      <c r="Y84" s="6">
        <v>180.11</v>
      </c>
      <c r="Z84" s="6"/>
      <c r="AA84" s="6"/>
    </row>
    <row r="85" spans="1:27" x14ac:dyDescent="0.2">
      <c r="A85" s="2">
        <v>112.71</v>
      </c>
      <c r="B85" s="2"/>
      <c r="C85" s="2"/>
      <c r="D85" s="2">
        <v>115.31</v>
      </c>
      <c r="E85" s="2"/>
      <c r="F85" s="2"/>
      <c r="G85" s="3">
        <v>128.30000000000001</v>
      </c>
      <c r="H85" s="3"/>
      <c r="I85" s="3"/>
      <c r="J85" s="3">
        <v>136.58000000000001</v>
      </c>
      <c r="K85" s="3"/>
      <c r="L85" s="3"/>
      <c r="M85" s="4">
        <v>96.983000000000004</v>
      </c>
      <c r="N85" s="4"/>
      <c r="O85" s="4"/>
      <c r="P85" s="6">
        <v>118.92</v>
      </c>
      <c r="Q85" s="6"/>
      <c r="R85" s="6"/>
      <c r="S85" s="6">
        <v>131.91999999999999</v>
      </c>
      <c r="T85" s="6"/>
      <c r="U85" s="6"/>
      <c r="V85" s="6">
        <v>144.44</v>
      </c>
      <c r="W85" s="6"/>
      <c r="X85" s="6"/>
      <c r="Y85" s="6">
        <v>177.13</v>
      </c>
      <c r="Z85" s="6"/>
      <c r="AA85" s="6"/>
    </row>
    <row r="86" spans="1:27" x14ac:dyDescent="0.2">
      <c r="A86" s="2">
        <v>112.71</v>
      </c>
      <c r="B86" s="2"/>
      <c r="C86" s="2"/>
      <c r="D86" s="2">
        <v>115.31</v>
      </c>
      <c r="E86" s="2"/>
      <c r="F86" s="2"/>
      <c r="G86" s="3">
        <v>134.41999999999999</v>
      </c>
      <c r="H86" s="3"/>
      <c r="I86" s="3"/>
      <c r="J86" s="3">
        <v>133.83000000000001</v>
      </c>
      <c r="K86" s="3"/>
      <c r="L86" s="3"/>
      <c r="M86" s="4">
        <v>96.983000000000004</v>
      </c>
      <c r="N86" s="4"/>
      <c r="O86" s="4"/>
      <c r="P86" s="6">
        <v>119.17</v>
      </c>
      <c r="Q86" s="6"/>
      <c r="R86" s="6"/>
      <c r="S86" s="6">
        <v>132.29</v>
      </c>
      <c r="T86" s="6"/>
      <c r="U86" s="6"/>
      <c r="V86" s="6">
        <v>144.44</v>
      </c>
      <c r="W86" s="6"/>
      <c r="X86" s="6"/>
      <c r="Y86" s="6">
        <v>177.13</v>
      </c>
      <c r="Z86" s="6"/>
      <c r="AA86" s="6"/>
    </row>
    <row r="87" spans="1:27" x14ac:dyDescent="0.2">
      <c r="A87" s="2">
        <v>117.14</v>
      </c>
      <c r="B87" s="2"/>
      <c r="C87" s="2"/>
      <c r="D87" s="2">
        <v>106.85</v>
      </c>
      <c r="E87" s="2"/>
      <c r="F87" s="2"/>
      <c r="G87" s="3">
        <v>134.41999999999999</v>
      </c>
      <c r="H87" s="3"/>
      <c r="I87" s="3"/>
      <c r="J87" s="3">
        <v>133.83000000000001</v>
      </c>
      <c r="K87" s="3"/>
      <c r="L87" s="3"/>
      <c r="M87" s="4">
        <v>104.21</v>
      </c>
      <c r="N87" s="4"/>
      <c r="O87" s="4"/>
      <c r="P87" s="6">
        <v>119.17</v>
      </c>
      <c r="Q87" s="6"/>
      <c r="R87" s="6"/>
      <c r="S87" s="6">
        <v>132.29</v>
      </c>
      <c r="T87" s="6"/>
      <c r="U87" s="6"/>
      <c r="V87" s="6">
        <v>143.41999999999999</v>
      </c>
      <c r="W87" s="6"/>
      <c r="X87" s="6"/>
      <c r="Y87" s="6">
        <v>175.56</v>
      </c>
      <c r="Z87" s="6"/>
      <c r="AA87" s="6"/>
    </row>
    <row r="88" spans="1:27" x14ac:dyDescent="0.2">
      <c r="A88" s="2">
        <v>117.14</v>
      </c>
      <c r="B88" s="2"/>
      <c r="C88" s="2"/>
      <c r="D88" s="2">
        <v>106.85</v>
      </c>
      <c r="E88" s="2"/>
      <c r="F88" s="2"/>
      <c r="G88" s="3">
        <v>138.36000000000001</v>
      </c>
      <c r="H88" s="3"/>
      <c r="I88" s="3"/>
      <c r="J88" s="3">
        <v>136.61000000000001</v>
      </c>
      <c r="K88" s="3"/>
      <c r="L88" s="3"/>
      <c r="M88" s="4">
        <v>104.21</v>
      </c>
      <c r="N88" s="4"/>
      <c r="O88" s="4"/>
      <c r="P88" s="6">
        <v>117.1</v>
      </c>
      <c r="Q88" s="6"/>
      <c r="R88" s="6"/>
      <c r="S88" s="6">
        <v>136.4</v>
      </c>
      <c r="T88" s="6"/>
      <c r="U88" s="6"/>
      <c r="V88" s="6">
        <v>143.41999999999999</v>
      </c>
      <c r="W88" s="6"/>
      <c r="X88" s="6"/>
      <c r="Y88" s="6">
        <v>175.56</v>
      </c>
      <c r="Z88" s="6"/>
      <c r="AA88" s="6"/>
    </row>
    <row r="89" spans="1:27" x14ac:dyDescent="0.2">
      <c r="A89" s="2">
        <v>114.75</v>
      </c>
      <c r="B89" s="2"/>
      <c r="C89" s="2"/>
      <c r="D89" s="2">
        <v>111.17</v>
      </c>
      <c r="E89" s="2"/>
      <c r="F89" s="2"/>
      <c r="G89" s="3">
        <v>138.36000000000001</v>
      </c>
      <c r="H89" s="3"/>
      <c r="I89" s="3"/>
      <c r="J89" s="3">
        <v>136.61000000000001</v>
      </c>
      <c r="K89" s="3"/>
      <c r="L89" s="3"/>
      <c r="M89" s="4">
        <v>99.638999999999996</v>
      </c>
      <c r="N89" s="4"/>
      <c r="O89" s="4"/>
      <c r="P89" s="6">
        <v>117.1</v>
      </c>
      <c r="Q89" s="6"/>
      <c r="R89" s="6"/>
      <c r="S89" s="6">
        <v>136.4</v>
      </c>
      <c r="T89" s="6"/>
      <c r="U89" s="6"/>
      <c r="V89" s="6">
        <v>143.76</v>
      </c>
      <c r="W89" s="6"/>
      <c r="X89" s="6"/>
      <c r="Y89" s="6">
        <v>184.57</v>
      </c>
      <c r="Z89" s="6"/>
      <c r="AA89" s="6"/>
    </row>
    <row r="90" spans="1:27" x14ac:dyDescent="0.2">
      <c r="A90" s="2">
        <v>114.75</v>
      </c>
      <c r="B90" s="2"/>
      <c r="C90" s="2"/>
      <c r="D90" s="2">
        <v>111.17</v>
      </c>
      <c r="E90" s="2"/>
      <c r="F90" s="2"/>
      <c r="G90" s="3">
        <v>140.51</v>
      </c>
      <c r="H90" s="3"/>
      <c r="I90" s="3"/>
      <c r="J90" s="3">
        <v>133.96</v>
      </c>
      <c r="K90" s="3"/>
      <c r="L90" s="3"/>
      <c r="M90" s="4">
        <v>99.638999999999996</v>
      </c>
      <c r="N90" s="4"/>
      <c r="O90" s="4"/>
      <c r="P90" s="6">
        <v>114.61</v>
      </c>
      <c r="Q90" s="6"/>
      <c r="R90" s="6"/>
      <c r="S90" s="6">
        <v>134.13</v>
      </c>
      <c r="T90" s="6"/>
      <c r="U90" s="6"/>
      <c r="V90" s="6">
        <v>143.76</v>
      </c>
      <c r="W90" s="6"/>
      <c r="X90" s="6"/>
      <c r="Y90" s="6">
        <v>184.57</v>
      </c>
      <c r="Z90" s="6"/>
      <c r="AA90" s="6"/>
    </row>
    <row r="91" spans="1:27" x14ac:dyDescent="0.2">
      <c r="A91" s="2">
        <v>107.51</v>
      </c>
      <c r="B91" s="2"/>
      <c r="C91" s="2"/>
      <c r="D91" s="2">
        <v>107.92</v>
      </c>
      <c r="E91" s="2"/>
      <c r="F91" s="2"/>
      <c r="G91" s="3">
        <v>140.51</v>
      </c>
      <c r="H91" s="3"/>
      <c r="I91" s="3"/>
      <c r="J91" s="3">
        <v>133.96</v>
      </c>
      <c r="K91" s="3"/>
      <c r="L91" s="3"/>
      <c r="M91" s="4">
        <v>99.346000000000004</v>
      </c>
      <c r="N91" s="4"/>
      <c r="O91" s="4"/>
      <c r="P91" s="6">
        <v>114.61</v>
      </c>
      <c r="Q91" s="6"/>
      <c r="R91" s="6"/>
      <c r="S91" s="6">
        <v>134.13</v>
      </c>
      <c r="T91" s="6"/>
      <c r="U91" s="6"/>
      <c r="V91" s="6">
        <v>141.16</v>
      </c>
      <c r="W91" s="6"/>
      <c r="X91" s="6"/>
      <c r="Y91" s="6">
        <v>177.77</v>
      </c>
      <c r="Z91" s="6"/>
      <c r="AA91" s="6"/>
    </row>
    <row r="92" spans="1:27" x14ac:dyDescent="0.2">
      <c r="A92" s="2">
        <v>107.51</v>
      </c>
      <c r="B92" s="2"/>
      <c r="C92" s="2"/>
      <c r="D92" s="2">
        <v>107.92</v>
      </c>
      <c r="E92" s="2"/>
      <c r="F92" s="2"/>
      <c r="G92" s="3">
        <v>134.88</v>
      </c>
      <c r="H92" s="3"/>
      <c r="I92" s="3"/>
      <c r="J92" s="3">
        <v>128.87</v>
      </c>
      <c r="K92" s="3"/>
      <c r="L92" s="3"/>
      <c r="M92" s="4">
        <v>99.346000000000004</v>
      </c>
      <c r="N92" s="4"/>
      <c r="O92" s="4"/>
      <c r="P92" s="6">
        <v>117.8</v>
      </c>
      <c r="Q92" s="6"/>
      <c r="R92" s="6"/>
      <c r="S92" s="6">
        <v>126.69</v>
      </c>
      <c r="T92" s="6"/>
      <c r="U92" s="6"/>
      <c r="V92" s="6">
        <v>141.16</v>
      </c>
      <c r="W92" s="6"/>
      <c r="X92" s="6"/>
      <c r="Y92" s="6">
        <v>177.77</v>
      </c>
      <c r="Z92" s="6"/>
      <c r="AA92" s="6"/>
    </row>
    <row r="93" spans="1:27" x14ac:dyDescent="0.2">
      <c r="A93" s="2">
        <v>110.74</v>
      </c>
      <c r="B93" s="2"/>
      <c r="C93" s="2"/>
      <c r="D93" s="2">
        <v>112.74</v>
      </c>
      <c r="E93" s="2"/>
      <c r="F93" s="2"/>
      <c r="G93" s="3">
        <v>134.88</v>
      </c>
      <c r="H93" s="3"/>
      <c r="I93" s="3"/>
      <c r="J93" s="3">
        <v>128.87</v>
      </c>
      <c r="K93" s="3"/>
      <c r="L93" s="3"/>
      <c r="M93" s="4">
        <v>109.32</v>
      </c>
      <c r="N93" s="4"/>
      <c r="O93" s="4"/>
      <c r="P93" s="6">
        <v>117.8</v>
      </c>
      <c r="Q93" s="6"/>
      <c r="R93" s="6"/>
      <c r="S93" s="6">
        <v>126.69</v>
      </c>
      <c r="T93" s="6"/>
      <c r="U93" s="6"/>
      <c r="V93" s="6">
        <v>139.16999999999999</v>
      </c>
      <c r="W93" s="6"/>
      <c r="X93" s="6"/>
      <c r="Y93" s="6">
        <v>177.09</v>
      </c>
      <c r="Z93" s="6"/>
      <c r="AA93" s="6"/>
    </row>
    <row r="94" spans="1:27" x14ac:dyDescent="0.2">
      <c r="A94" s="2">
        <v>110.74</v>
      </c>
      <c r="B94" s="2"/>
      <c r="C94" s="2"/>
      <c r="D94" s="2">
        <v>112.74</v>
      </c>
      <c r="E94" s="2"/>
      <c r="F94" s="2"/>
      <c r="G94" s="3">
        <v>133.38</v>
      </c>
      <c r="H94" s="3"/>
      <c r="I94" s="3"/>
      <c r="J94" s="3">
        <v>134.19</v>
      </c>
      <c r="K94" s="3"/>
      <c r="L94" s="3"/>
      <c r="M94" s="4">
        <v>109.32</v>
      </c>
      <c r="N94" s="4"/>
      <c r="O94" s="4"/>
      <c r="P94" s="6">
        <v>123</v>
      </c>
      <c r="Q94" s="6"/>
      <c r="R94" s="6"/>
      <c r="S94" s="6">
        <v>130.41999999999999</v>
      </c>
      <c r="T94" s="6"/>
      <c r="U94" s="6"/>
      <c r="V94" s="6">
        <v>139.16999999999999</v>
      </c>
      <c r="W94" s="6"/>
      <c r="X94" s="6"/>
      <c r="Y94" s="6">
        <v>177.09</v>
      </c>
      <c r="Z94" s="6"/>
      <c r="AA94" s="6"/>
    </row>
    <row r="95" spans="1:27" x14ac:dyDescent="0.2">
      <c r="A95" s="2">
        <v>108.16</v>
      </c>
      <c r="B95" s="2"/>
      <c r="C95" s="2"/>
      <c r="D95" s="2">
        <v>112.09</v>
      </c>
      <c r="E95" s="2"/>
      <c r="F95" s="2"/>
      <c r="G95" s="3">
        <v>133.38</v>
      </c>
      <c r="H95" s="3"/>
      <c r="I95" s="3"/>
      <c r="J95" s="3">
        <v>134.19</v>
      </c>
      <c r="K95" s="3"/>
      <c r="L95" s="3"/>
      <c r="M95" s="4">
        <v>105.43</v>
      </c>
      <c r="N95" s="4"/>
      <c r="O95" s="4"/>
      <c r="P95" s="6">
        <v>123</v>
      </c>
      <c r="Q95" s="6"/>
      <c r="R95" s="6"/>
      <c r="S95" s="6">
        <v>130.41999999999999</v>
      </c>
      <c r="T95" s="6"/>
      <c r="U95" s="6"/>
      <c r="V95" s="6">
        <v>138.01</v>
      </c>
      <c r="W95" s="6"/>
      <c r="X95" s="6"/>
      <c r="Y95" s="6">
        <v>180.44</v>
      </c>
      <c r="Z95" s="6"/>
      <c r="AA95" s="6"/>
    </row>
    <row r="96" spans="1:27" x14ac:dyDescent="0.2">
      <c r="A96" s="2">
        <v>108.16</v>
      </c>
      <c r="B96" s="2"/>
      <c r="C96" s="2"/>
      <c r="D96" s="2">
        <v>112.09</v>
      </c>
      <c r="E96" s="2"/>
      <c r="F96" s="2"/>
      <c r="G96" s="3">
        <v>128.66</v>
      </c>
      <c r="H96" s="3"/>
      <c r="I96" s="3"/>
      <c r="J96" s="3">
        <v>137.6</v>
      </c>
      <c r="K96" s="3"/>
      <c r="L96" s="3"/>
      <c r="M96" s="4">
        <v>105.43</v>
      </c>
      <c r="N96" s="4"/>
      <c r="O96" s="4"/>
      <c r="P96" s="6">
        <v>120.64</v>
      </c>
      <c r="Q96" s="6"/>
      <c r="R96" s="6"/>
      <c r="S96" s="6">
        <v>129.76</v>
      </c>
      <c r="T96" s="6"/>
      <c r="U96" s="6"/>
      <c r="V96" s="6">
        <v>138.01</v>
      </c>
      <c r="W96" s="6"/>
      <c r="X96" s="6"/>
      <c r="Y96" s="6">
        <v>180.44</v>
      </c>
      <c r="Z96" s="6"/>
      <c r="AA96" s="6"/>
    </row>
    <row r="97" spans="1:27" x14ac:dyDescent="0.2">
      <c r="A97" s="2">
        <v>110.14</v>
      </c>
      <c r="B97" s="2"/>
      <c r="C97" s="2"/>
      <c r="D97" s="2">
        <v>127.97</v>
      </c>
      <c r="E97" s="2"/>
      <c r="F97" s="2"/>
      <c r="G97" s="3">
        <v>128.66</v>
      </c>
      <c r="H97" s="3"/>
      <c r="I97" s="3"/>
      <c r="J97" s="3">
        <v>137.6</v>
      </c>
      <c r="K97" s="3"/>
      <c r="L97" s="3"/>
      <c r="M97" s="4">
        <v>100.08</v>
      </c>
      <c r="N97" s="4"/>
      <c r="O97" s="4"/>
      <c r="P97" s="6">
        <v>120.64</v>
      </c>
      <c r="Q97" s="6"/>
      <c r="R97" s="6"/>
      <c r="S97" s="6">
        <v>129.76</v>
      </c>
      <c r="T97" s="6"/>
      <c r="U97" s="6"/>
      <c r="V97" s="6">
        <v>143.31</v>
      </c>
      <c r="W97" s="6"/>
      <c r="X97" s="6"/>
      <c r="Y97" s="6">
        <v>180.82</v>
      </c>
      <c r="Z97" s="6"/>
      <c r="AA97" s="6"/>
    </row>
    <row r="98" spans="1:27" x14ac:dyDescent="0.2">
      <c r="A98" s="2">
        <v>110.14</v>
      </c>
      <c r="B98" s="2"/>
      <c r="C98" s="2"/>
      <c r="D98" s="2">
        <v>127.97</v>
      </c>
      <c r="E98" s="2"/>
      <c r="F98" s="2"/>
      <c r="G98" s="3">
        <v>133.11000000000001</v>
      </c>
      <c r="H98" s="3"/>
      <c r="I98" s="3"/>
      <c r="J98" s="3">
        <v>129.08000000000001</v>
      </c>
      <c r="K98" s="3"/>
      <c r="L98" s="3"/>
      <c r="M98" s="4">
        <v>100.08</v>
      </c>
      <c r="N98" s="4"/>
      <c r="O98" s="4"/>
      <c r="P98" s="6">
        <v>114.04</v>
      </c>
      <c r="Q98" s="6"/>
      <c r="R98" s="6"/>
      <c r="S98" s="6">
        <v>128.21</v>
      </c>
      <c r="T98" s="6"/>
      <c r="U98" s="6"/>
      <c r="V98" s="6">
        <v>143.31</v>
      </c>
      <c r="W98" s="6"/>
      <c r="X98" s="6"/>
      <c r="Y98" s="6">
        <v>180.82</v>
      </c>
      <c r="Z98" s="6"/>
      <c r="AA98" s="6"/>
    </row>
    <row r="99" spans="1:27" x14ac:dyDescent="0.2">
      <c r="A99" s="2">
        <v>114.46</v>
      </c>
      <c r="B99" s="2"/>
      <c r="C99" s="2"/>
      <c r="D99" s="2">
        <v>111.15</v>
      </c>
      <c r="E99" s="2"/>
      <c r="F99" s="2"/>
      <c r="G99" s="3">
        <v>133.11000000000001</v>
      </c>
      <c r="H99" s="3"/>
      <c r="I99" s="3"/>
      <c r="J99" s="3">
        <v>129.08000000000001</v>
      </c>
      <c r="K99" s="3"/>
      <c r="L99" s="3"/>
      <c r="M99" s="4">
        <v>103.96</v>
      </c>
      <c r="N99" s="4"/>
      <c r="O99" s="4"/>
      <c r="P99" s="6">
        <v>114.04</v>
      </c>
      <c r="Q99" s="6"/>
      <c r="R99" s="6"/>
      <c r="S99" s="6">
        <v>128.21</v>
      </c>
      <c r="T99" s="6"/>
      <c r="U99" s="6"/>
      <c r="V99" s="6">
        <v>141.41999999999999</v>
      </c>
      <c r="W99" s="6"/>
      <c r="X99" s="6"/>
      <c r="Y99" s="6">
        <v>170.44</v>
      </c>
      <c r="Z99" s="6"/>
      <c r="AA99" s="6"/>
    </row>
    <row r="100" spans="1:27" x14ac:dyDescent="0.2">
      <c r="A100" s="2">
        <v>114.46</v>
      </c>
      <c r="B100" s="2"/>
      <c r="C100" s="2"/>
      <c r="D100" s="2">
        <v>111.15</v>
      </c>
      <c r="E100" s="2"/>
      <c r="F100" s="2"/>
      <c r="G100" s="3">
        <v>133.72999999999999</v>
      </c>
      <c r="H100" s="3"/>
      <c r="I100" s="3"/>
      <c r="J100" s="3">
        <v>125.84</v>
      </c>
      <c r="K100" s="3"/>
      <c r="L100" s="3"/>
      <c r="M100" s="4">
        <v>103.96</v>
      </c>
      <c r="N100" s="4"/>
      <c r="O100" s="4"/>
      <c r="P100" s="6">
        <v>113.56</v>
      </c>
      <c r="Q100" s="6"/>
      <c r="R100" s="6"/>
      <c r="S100" s="6">
        <v>135.85</v>
      </c>
      <c r="T100" s="6"/>
      <c r="U100" s="6"/>
      <c r="V100" s="6">
        <v>141.41999999999999</v>
      </c>
      <c r="W100" s="6"/>
      <c r="X100" s="6"/>
      <c r="Y100" s="6">
        <v>170.44</v>
      </c>
      <c r="Z100" s="6"/>
      <c r="AA100" s="6"/>
    </row>
    <row r="101" spans="1:27" x14ac:dyDescent="0.2">
      <c r="A101" s="2">
        <v>113.51</v>
      </c>
      <c r="B101" s="2"/>
      <c r="C101" s="2"/>
      <c r="D101" s="2">
        <v>114.96</v>
      </c>
      <c r="E101" s="2"/>
      <c r="F101" s="2"/>
      <c r="G101" s="3">
        <v>133.72999999999999</v>
      </c>
      <c r="H101" s="3"/>
      <c r="I101" s="3"/>
      <c r="J101" s="3">
        <v>125.84</v>
      </c>
      <c r="K101" s="3"/>
      <c r="L101" s="3"/>
      <c r="M101" s="4">
        <v>100.28</v>
      </c>
      <c r="N101" s="4"/>
      <c r="O101" s="4"/>
      <c r="P101" s="6">
        <v>113.56</v>
      </c>
      <c r="Q101" s="6"/>
      <c r="R101" s="6"/>
      <c r="S101" s="6">
        <v>135.85</v>
      </c>
      <c r="T101" s="6"/>
      <c r="U101" s="6"/>
      <c r="V101" s="6">
        <v>140.6</v>
      </c>
      <c r="W101" s="6"/>
      <c r="X101" s="6"/>
      <c r="Y101" s="6">
        <v>177.31</v>
      </c>
      <c r="Z101" s="6"/>
      <c r="AA101" s="6"/>
    </row>
    <row r="102" spans="1:27" x14ac:dyDescent="0.2">
      <c r="A102" s="2">
        <v>113.51</v>
      </c>
      <c r="B102" s="2"/>
      <c r="C102" s="2"/>
      <c r="D102" s="2">
        <v>114.96</v>
      </c>
      <c r="E102" s="2"/>
      <c r="F102" s="2"/>
      <c r="G102" s="3">
        <v>134.25</v>
      </c>
      <c r="H102" s="3"/>
      <c r="I102" s="3"/>
      <c r="J102" s="3">
        <v>138.69</v>
      </c>
      <c r="K102" s="3"/>
      <c r="L102" s="3"/>
      <c r="M102" s="4">
        <v>100.28</v>
      </c>
      <c r="N102" s="4"/>
      <c r="O102" s="4"/>
      <c r="P102" s="6">
        <v>117.43</v>
      </c>
      <c r="Q102" s="6"/>
      <c r="R102" s="6"/>
      <c r="S102" s="6">
        <v>132.88999999999999</v>
      </c>
      <c r="T102" s="6"/>
      <c r="U102" s="6"/>
      <c r="V102" s="6">
        <v>140.6</v>
      </c>
      <c r="W102" s="6"/>
      <c r="X102" s="6"/>
      <c r="Y102" s="6">
        <v>177.31</v>
      </c>
      <c r="Z102" s="6"/>
      <c r="AA102" s="6"/>
    </row>
    <row r="103" spans="1:27" x14ac:dyDescent="0.2">
      <c r="A103" s="2">
        <v>110.49</v>
      </c>
      <c r="B103" s="2"/>
      <c r="C103" s="2"/>
      <c r="D103" s="2">
        <v>119.16</v>
      </c>
      <c r="E103" s="2"/>
      <c r="F103" s="2"/>
      <c r="G103" s="3">
        <v>134.25</v>
      </c>
      <c r="H103" s="3"/>
      <c r="I103" s="3"/>
      <c r="J103" s="3">
        <v>138.69</v>
      </c>
      <c r="K103" s="3"/>
      <c r="L103" s="3"/>
      <c r="M103" s="4">
        <v>98.63</v>
      </c>
      <c r="N103" s="4"/>
      <c r="O103" s="4"/>
      <c r="P103" s="6">
        <v>117.43</v>
      </c>
      <c r="Q103" s="6"/>
      <c r="R103" s="6"/>
      <c r="S103" s="6">
        <v>132.88999999999999</v>
      </c>
      <c r="T103" s="6"/>
      <c r="U103" s="6"/>
      <c r="V103" s="6">
        <v>141.86000000000001</v>
      </c>
      <c r="W103" s="6"/>
      <c r="X103" s="6"/>
      <c r="Y103" s="6">
        <v>178.01</v>
      </c>
      <c r="Z103" s="6"/>
      <c r="AA103" s="6"/>
    </row>
    <row r="104" spans="1:27" x14ac:dyDescent="0.2">
      <c r="A104" s="2">
        <v>110.49</v>
      </c>
      <c r="B104" s="2"/>
      <c r="C104" s="2"/>
      <c r="D104" s="2">
        <v>119.16</v>
      </c>
      <c r="E104" s="2"/>
      <c r="F104" s="2"/>
      <c r="G104" s="3">
        <v>127.13</v>
      </c>
      <c r="H104" s="3"/>
      <c r="I104" s="3"/>
      <c r="J104" s="3">
        <v>124.98</v>
      </c>
      <c r="K104" s="3"/>
      <c r="L104" s="3"/>
      <c r="M104" s="4">
        <v>98.63</v>
      </c>
      <c r="N104" s="4"/>
      <c r="O104" s="4"/>
      <c r="P104" s="6">
        <v>118.2</v>
      </c>
      <c r="Q104" s="6"/>
      <c r="R104" s="6"/>
      <c r="S104" s="6">
        <v>129.76</v>
      </c>
      <c r="T104" s="6"/>
      <c r="U104" s="6"/>
      <c r="V104" s="6">
        <v>141.86000000000001</v>
      </c>
      <c r="W104" s="6"/>
      <c r="X104" s="6"/>
      <c r="Y104" s="6">
        <v>178.01</v>
      </c>
      <c r="Z104" s="6"/>
      <c r="AA104" s="6"/>
    </row>
    <row r="105" spans="1:27" x14ac:dyDescent="0.2">
      <c r="A105" s="2">
        <v>120.56</v>
      </c>
      <c r="B105" s="2"/>
      <c r="C105" s="2"/>
      <c r="D105" s="2">
        <v>119.89</v>
      </c>
      <c r="E105" s="2"/>
      <c r="F105" s="2"/>
      <c r="G105" s="3">
        <v>127.13</v>
      </c>
      <c r="H105" s="3"/>
      <c r="I105" s="3"/>
      <c r="J105" s="3">
        <v>124.98</v>
      </c>
      <c r="K105" s="3"/>
      <c r="L105" s="3"/>
      <c r="M105" s="4">
        <v>99.49</v>
      </c>
      <c r="N105" s="4"/>
      <c r="O105" s="4"/>
      <c r="P105" s="6">
        <v>118.2</v>
      </c>
      <c r="Q105" s="6"/>
      <c r="R105" s="6"/>
      <c r="S105" s="6">
        <v>129.76</v>
      </c>
      <c r="T105" s="6"/>
      <c r="U105" s="6"/>
      <c r="V105" s="6">
        <v>149.21</v>
      </c>
      <c r="W105" s="6"/>
      <c r="X105" s="6"/>
      <c r="Y105" s="6">
        <v>177.69</v>
      </c>
      <c r="Z105" s="6"/>
      <c r="AA105" s="6"/>
    </row>
    <row r="106" spans="1:27" x14ac:dyDescent="0.2">
      <c r="A106" s="2">
        <v>120.56</v>
      </c>
      <c r="B106" s="2"/>
      <c r="C106" s="2"/>
      <c r="D106" s="2">
        <v>119.89</v>
      </c>
      <c r="E106" s="2"/>
      <c r="F106" s="2"/>
      <c r="G106" s="3">
        <v>129.77000000000001</v>
      </c>
      <c r="H106" s="3"/>
      <c r="I106" s="3"/>
      <c r="J106" s="3">
        <v>122.43</v>
      </c>
      <c r="K106" s="3"/>
      <c r="L106" s="3"/>
      <c r="M106" s="4">
        <v>99.49</v>
      </c>
      <c r="N106" s="4"/>
      <c r="O106" s="4"/>
      <c r="P106" s="6">
        <v>114.34</v>
      </c>
      <c r="Q106" s="6"/>
      <c r="R106" s="6"/>
      <c r="S106" s="6">
        <v>137.88999999999999</v>
      </c>
      <c r="T106" s="6"/>
      <c r="U106" s="6"/>
      <c r="V106" s="6">
        <v>149.21</v>
      </c>
      <c r="W106" s="6"/>
      <c r="X106" s="6"/>
      <c r="Y106" s="6">
        <v>177.69</v>
      </c>
      <c r="Z106" s="6"/>
      <c r="AA106" s="6"/>
    </row>
    <row r="107" spans="1:27" x14ac:dyDescent="0.2">
      <c r="A107" s="2">
        <v>117.3</v>
      </c>
      <c r="B107" s="2"/>
      <c r="C107" s="2"/>
      <c r="D107" s="2">
        <v>111.75</v>
      </c>
      <c r="E107" s="2"/>
      <c r="F107" s="2"/>
      <c r="G107" s="3">
        <v>129.77000000000001</v>
      </c>
      <c r="H107" s="3"/>
      <c r="I107" s="3"/>
      <c r="J107" s="3">
        <v>122.43</v>
      </c>
      <c r="K107" s="3"/>
      <c r="L107" s="3"/>
      <c r="M107" s="4">
        <v>101.36</v>
      </c>
      <c r="N107" s="4"/>
      <c r="O107" s="4"/>
      <c r="P107" s="6">
        <v>114.34</v>
      </c>
      <c r="Q107" s="6"/>
      <c r="R107" s="6"/>
      <c r="S107" s="6">
        <v>137.88999999999999</v>
      </c>
      <c r="T107" s="6"/>
      <c r="U107" s="6"/>
      <c r="V107" s="6">
        <v>150.30000000000001</v>
      </c>
      <c r="W107" s="6"/>
      <c r="X107" s="6"/>
      <c r="Y107" s="6">
        <v>184.13</v>
      </c>
      <c r="Z107" s="6"/>
      <c r="AA107" s="6"/>
    </row>
    <row r="108" spans="1:27" x14ac:dyDescent="0.2">
      <c r="A108" s="2">
        <v>117.3</v>
      </c>
      <c r="B108" s="2"/>
      <c r="C108" s="2"/>
      <c r="D108" s="2">
        <v>111.75</v>
      </c>
      <c r="E108" s="2"/>
      <c r="F108" s="2"/>
      <c r="G108" s="3">
        <v>126.3</v>
      </c>
      <c r="H108" s="3"/>
      <c r="I108" s="3"/>
      <c r="J108" s="3">
        <v>136.47999999999999</v>
      </c>
      <c r="K108" s="3"/>
      <c r="L108" s="3"/>
      <c r="M108" s="4">
        <v>101.36</v>
      </c>
      <c r="N108" s="4"/>
      <c r="O108" s="4"/>
      <c r="P108" s="6">
        <v>121.22</v>
      </c>
      <c r="Q108" s="6"/>
      <c r="R108" s="6"/>
      <c r="S108" s="6">
        <v>134.25</v>
      </c>
      <c r="T108" s="6"/>
      <c r="U108" s="6"/>
      <c r="V108" s="6">
        <v>150.30000000000001</v>
      </c>
      <c r="W108" s="6"/>
      <c r="X108" s="6"/>
      <c r="Y108" s="6">
        <v>184.13</v>
      </c>
      <c r="Z108" s="6"/>
      <c r="AA108" s="6"/>
    </row>
    <row r="109" spans="1:27" x14ac:dyDescent="0.2">
      <c r="A109" s="2">
        <v>113.15</v>
      </c>
      <c r="B109" s="2"/>
      <c r="C109" s="2"/>
      <c r="D109" s="2">
        <v>114.76</v>
      </c>
      <c r="E109" s="2"/>
      <c r="F109" s="2"/>
      <c r="G109" s="3">
        <v>126.3</v>
      </c>
      <c r="H109" s="3"/>
      <c r="I109" s="3"/>
      <c r="J109" s="3">
        <v>136.47999999999999</v>
      </c>
      <c r="K109" s="3"/>
      <c r="L109" s="3"/>
      <c r="M109" s="4">
        <v>101.11</v>
      </c>
      <c r="N109" s="4"/>
      <c r="O109" s="4"/>
      <c r="P109" s="6">
        <v>121.22</v>
      </c>
      <c r="Q109" s="6"/>
      <c r="R109" s="6"/>
      <c r="S109" s="6">
        <v>134.25</v>
      </c>
      <c r="T109" s="6"/>
      <c r="U109" s="6"/>
      <c r="V109" s="6">
        <v>145.53</v>
      </c>
      <c r="W109" s="6"/>
      <c r="X109" s="6"/>
      <c r="Y109" s="6">
        <v>179.94</v>
      </c>
      <c r="Z109" s="6"/>
      <c r="AA109" s="6"/>
    </row>
    <row r="110" spans="1:27" x14ac:dyDescent="0.2">
      <c r="A110" s="2">
        <v>113.15</v>
      </c>
      <c r="B110" s="2"/>
      <c r="C110" s="2"/>
      <c r="D110" s="2">
        <v>114.76</v>
      </c>
      <c r="E110" s="2"/>
      <c r="F110" s="2"/>
      <c r="G110" s="3">
        <v>128.34</v>
      </c>
      <c r="H110" s="3"/>
      <c r="I110" s="3"/>
      <c r="J110" s="3">
        <v>127.86</v>
      </c>
      <c r="K110" s="3"/>
      <c r="L110" s="3"/>
      <c r="M110" s="4">
        <v>101.11</v>
      </c>
      <c r="N110" s="4"/>
      <c r="O110" s="4"/>
      <c r="P110" s="6">
        <v>114.51</v>
      </c>
      <c r="Q110" s="6"/>
      <c r="R110" s="6"/>
      <c r="S110" s="6">
        <v>127.43</v>
      </c>
      <c r="T110" s="6"/>
      <c r="U110" s="6"/>
      <c r="V110" s="6">
        <v>145.53</v>
      </c>
      <c r="W110" s="6"/>
      <c r="X110" s="6"/>
      <c r="Y110" s="6">
        <v>179.94</v>
      </c>
      <c r="Z110" s="6"/>
      <c r="AA110" s="6"/>
    </row>
    <row r="111" spans="1:27" x14ac:dyDescent="0.2">
      <c r="A111" s="2">
        <v>115.19</v>
      </c>
      <c r="B111" s="2"/>
      <c r="C111" s="2"/>
      <c r="D111" s="2">
        <v>112.75</v>
      </c>
      <c r="E111" s="2"/>
      <c r="F111" s="2"/>
      <c r="G111" s="3">
        <v>128.34</v>
      </c>
      <c r="H111" s="3"/>
      <c r="I111" s="3"/>
      <c r="J111" s="3">
        <v>127.86</v>
      </c>
      <c r="K111" s="3"/>
      <c r="L111" s="3"/>
      <c r="M111" s="4">
        <v>110.13</v>
      </c>
      <c r="N111" s="4"/>
      <c r="O111" s="4"/>
      <c r="P111" s="6">
        <v>114.51</v>
      </c>
      <c r="Q111" s="6"/>
      <c r="R111" s="6"/>
      <c r="S111" s="6">
        <v>127.43</v>
      </c>
      <c r="T111" s="6"/>
      <c r="U111" s="6"/>
      <c r="V111" s="6">
        <v>141.54</v>
      </c>
      <c r="W111" s="6"/>
      <c r="X111" s="6"/>
      <c r="Y111" s="6">
        <v>174.88</v>
      </c>
      <c r="Z111" s="6"/>
      <c r="AA111" s="6"/>
    </row>
    <row r="112" spans="1:27" x14ac:dyDescent="0.2">
      <c r="A112" s="2">
        <v>115.19</v>
      </c>
      <c r="B112" s="2"/>
      <c r="C112" s="2"/>
      <c r="D112" s="2">
        <v>112.75</v>
      </c>
      <c r="E112" s="2"/>
      <c r="F112" s="2"/>
      <c r="G112" s="3">
        <v>130.32</v>
      </c>
      <c r="H112" s="3"/>
      <c r="I112" s="3"/>
      <c r="J112" s="3">
        <v>125.7</v>
      </c>
      <c r="K112" s="3"/>
      <c r="L112" s="3"/>
      <c r="M112" s="4">
        <v>110.13</v>
      </c>
      <c r="N112" s="4"/>
      <c r="O112" s="4"/>
      <c r="P112" s="6">
        <v>122.51</v>
      </c>
      <c r="Q112" s="6"/>
      <c r="R112" s="6"/>
      <c r="S112" s="6">
        <v>129.9</v>
      </c>
      <c r="T112" s="6"/>
      <c r="U112" s="6"/>
      <c r="V112" s="6">
        <v>141.54</v>
      </c>
      <c r="W112" s="6"/>
      <c r="X112" s="6"/>
      <c r="Y112" s="6">
        <v>174.88</v>
      </c>
      <c r="Z112" s="6"/>
      <c r="AA112" s="6"/>
    </row>
    <row r="113" spans="1:27" x14ac:dyDescent="0.2">
      <c r="A113" s="2">
        <v>116.15</v>
      </c>
      <c r="B113" s="2"/>
      <c r="C113" s="2"/>
      <c r="D113" s="2">
        <v>114.06</v>
      </c>
      <c r="E113" s="2"/>
      <c r="F113" s="2"/>
      <c r="G113" s="3">
        <v>130.32</v>
      </c>
      <c r="H113" s="3"/>
      <c r="I113" s="3"/>
      <c r="J113" s="3">
        <v>125.7</v>
      </c>
      <c r="K113" s="3"/>
      <c r="L113" s="3"/>
      <c r="M113" s="4">
        <v>109.3</v>
      </c>
      <c r="N113" s="4"/>
      <c r="O113" s="4"/>
      <c r="P113" s="6">
        <v>122.51</v>
      </c>
      <c r="Q113" s="6"/>
      <c r="R113" s="6"/>
      <c r="S113" s="6">
        <v>129.9</v>
      </c>
      <c r="T113" s="6"/>
      <c r="U113" s="6"/>
      <c r="V113" s="6">
        <v>140.63</v>
      </c>
      <c r="W113" s="6"/>
      <c r="X113" s="6"/>
      <c r="Y113" s="6">
        <v>174.87</v>
      </c>
      <c r="Z113" s="6"/>
      <c r="AA113" s="6"/>
    </row>
    <row r="114" spans="1:27" x14ac:dyDescent="0.2">
      <c r="A114" s="2">
        <v>116.15</v>
      </c>
      <c r="B114" s="2"/>
      <c r="C114" s="2"/>
      <c r="D114" s="2">
        <v>114.06</v>
      </c>
      <c r="E114" s="2"/>
      <c r="F114" s="2"/>
      <c r="G114" s="3">
        <v>122.38</v>
      </c>
      <c r="H114" s="3"/>
      <c r="I114" s="3"/>
      <c r="J114" s="3">
        <v>126.5</v>
      </c>
      <c r="K114" s="3"/>
      <c r="L114" s="3"/>
      <c r="M114" s="4">
        <v>109.3</v>
      </c>
      <c r="N114" s="4"/>
      <c r="O114" s="4"/>
      <c r="P114" s="6">
        <v>123.93</v>
      </c>
      <c r="Q114" s="6"/>
      <c r="R114" s="6"/>
      <c r="S114" s="6">
        <v>127.35</v>
      </c>
      <c r="T114" s="6"/>
      <c r="U114" s="6"/>
      <c r="V114" s="6">
        <v>140.63</v>
      </c>
      <c r="W114" s="6"/>
      <c r="X114" s="6"/>
      <c r="Y114" s="6">
        <v>174.87</v>
      </c>
      <c r="Z114" s="6"/>
      <c r="AA114" s="6"/>
    </row>
    <row r="115" spans="1:27" x14ac:dyDescent="0.2">
      <c r="A115" s="2">
        <v>114.13</v>
      </c>
      <c r="B115" s="2"/>
      <c r="C115" s="2"/>
      <c r="D115" s="2">
        <v>116.84</v>
      </c>
      <c r="E115" s="2"/>
      <c r="F115" s="2"/>
      <c r="G115" s="3">
        <v>122.38</v>
      </c>
      <c r="H115" s="3"/>
      <c r="I115" s="3"/>
      <c r="J115" s="3">
        <v>126.5</v>
      </c>
      <c r="K115" s="3"/>
      <c r="L115" s="3"/>
      <c r="M115" s="4">
        <v>97.393000000000001</v>
      </c>
      <c r="N115" s="4"/>
      <c r="O115" s="4"/>
      <c r="P115" s="6">
        <v>123.93</v>
      </c>
      <c r="Q115" s="6"/>
      <c r="R115" s="6"/>
      <c r="S115" s="6">
        <v>127.35</v>
      </c>
      <c r="T115" s="6"/>
      <c r="U115" s="6"/>
      <c r="V115" s="6">
        <v>139.37</v>
      </c>
      <c r="W115" s="6"/>
      <c r="X115" s="6"/>
      <c r="Y115" s="6">
        <v>172.74</v>
      </c>
      <c r="Z115" s="6"/>
      <c r="AA115" s="6"/>
    </row>
    <row r="116" spans="1:27" x14ac:dyDescent="0.2">
      <c r="A116" s="2">
        <v>114.13</v>
      </c>
      <c r="B116" s="2"/>
      <c r="C116" s="2"/>
      <c r="D116" s="2">
        <v>116.84</v>
      </c>
      <c r="E116" s="2"/>
      <c r="F116" s="2"/>
      <c r="G116" s="3">
        <v>131.28</v>
      </c>
      <c r="H116" s="3"/>
      <c r="I116" s="3"/>
      <c r="J116" s="3">
        <v>135.81</v>
      </c>
      <c r="K116" s="3"/>
      <c r="L116" s="3"/>
      <c r="M116" s="4">
        <v>97.393000000000001</v>
      </c>
      <c r="N116" s="4"/>
      <c r="O116" s="4"/>
      <c r="P116" s="6">
        <v>112.63</v>
      </c>
      <c r="Q116" s="6"/>
      <c r="R116" s="6"/>
      <c r="S116" s="6">
        <v>128</v>
      </c>
      <c r="T116" s="6"/>
      <c r="U116" s="6"/>
      <c r="V116" s="6">
        <v>139.37</v>
      </c>
      <c r="W116" s="6"/>
      <c r="X116" s="6"/>
      <c r="Y116" s="6">
        <v>172.74</v>
      </c>
      <c r="Z116" s="6"/>
      <c r="AA116" s="6"/>
    </row>
    <row r="117" spans="1:27" x14ac:dyDescent="0.2">
      <c r="A117" s="2">
        <v>117.88</v>
      </c>
      <c r="B117" s="2"/>
      <c r="C117" s="2"/>
      <c r="D117" s="2">
        <v>109.01</v>
      </c>
      <c r="E117" s="2"/>
      <c r="F117" s="2"/>
      <c r="G117" s="3">
        <v>131.28</v>
      </c>
      <c r="H117" s="3"/>
      <c r="I117" s="3"/>
      <c r="J117" s="3">
        <v>135.81</v>
      </c>
      <c r="K117" s="3"/>
      <c r="L117" s="3"/>
      <c r="M117" s="4">
        <v>98.477999999999994</v>
      </c>
      <c r="N117" s="4"/>
      <c r="O117" s="4"/>
      <c r="P117" s="6">
        <v>112.63</v>
      </c>
      <c r="Q117" s="6"/>
      <c r="R117" s="6"/>
      <c r="S117" s="6">
        <v>128</v>
      </c>
      <c r="T117" s="6"/>
      <c r="U117" s="6"/>
      <c r="V117" s="6">
        <v>143.13</v>
      </c>
      <c r="W117" s="6"/>
      <c r="X117" s="6"/>
      <c r="Y117" s="6">
        <v>170.69</v>
      </c>
      <c r="Z117" s="6"/>
      <c r="AA117" s="6"/>
    </row>
    <row r="118" spans="1:27" x14ac:dyDescent="0.2">
      <c r="A118" s="2">
        <v>117.88</v>
      </c>
      <c r="B118" s="2"/>
      <c r="C118" s="2"/>
      <c r="D118" s="2">
        <v>109.01</v>
      </c>
      <c r="E118" s="2"/>
      <c r="F118" s="2"/>
      <c r="G118" s="3">
        <v>131.87</v>
      </c>
      <c r="H118" s="3"/>
      <c r="I118" s="3"/>
      <c r="J118" s="3">
        <v>126.73</v>
      </c>
      <c r="K118" s="3"/>
      <c r="L118" s="3"/>
      <c r="M118" s="4">
        <v>98.477999999999994</v>
      </c>
      <c r="N118" s="4"/>
      <c r="O118" s="4"/>
      <c r="P118" s="6">
        <v>114.44</v>
      </c>
      <c r="Q118" s="6"/>
      <c r="R118" s="6"/>
      <c r="S118" s="6">
        <v>131.11000000000001</v>
      </c>
      <c r="T118" s="6"/>
      <c r="U118" s="6"/>
      <c r="V118" s="6">
        <v>143.13</v>
      </c>
      <c r="W118" s="6"/>
      <c r="X118" s="6"/>
      <c r="Y118" s="6">
        <v>170.69</v>
      </c>
      <c r="Z118" s="6"/>
      <c r="AA118" s="6"/>
    </row>
    <row r="119" spans="1:27" x14ac:dyDescent="0.2">
      <c r="A119" s="2">
        <v>115.06</v>
      </c>
      <c r="B119" s="2"/>
      <c r="C119" s="2"/>
      <c r="D119" s="2">
        <v>106.63</v>
      </c>
      <c r="E119" s="2"/>
      <c r="F119" s="2"/>
      <c r="G119" s="3">
        <v>131.87</v>
      </c>
      <c r="H119" s="3"/>
      <c r="I119" s="3"/>
      <c r="J119" s="3">
        <v>126.73</v>
      </c>
      <c r="K119" s="3"/>
      <c r="L119" s="3"/>
      <c r="M119" s="4">
        <v>98.581999999999994</v>
      </c>
      <c r="N119" s="4"/>
      <c r="O119" s="4"/>
      <c r="P119" s="6">
        <v>114.44</v>
      </c>
      <c r="Q119" s="6"/>
      <c r="R119" s="6"/>
      <c r="S119" s="6">
        <v>131.11000000000001</v>
      </c>
      <c r="T119" s="6"/>
      <c r="U119" s="6"/>
      <c r="V119" s="6">
        <v>142.44</v>
      </c>
      <c r="W119" s="6"/>
      <c r="X119" s="6"/>
      <c r="Y119" s="6">
        <v>174.4</v>
      </c>
      <c r="Z119" s="6"/>
      <c r="AA119" s="6"/>
    </row>
    <row r="120" spans="1:27" x14ac:dyDescent="0.2">
      <c r="A120" s="2">
        <v>115.06</v>
      </c>
      <c r="B120" s="2"/>
      <c r="C120" s="2"/>
      <c r="D120" s="2">
        <v>106.63</v>
      </c>
      <c r="E120" s="2"/>
      <c r="F120" s="2"/>
      <c r="G120" s="3">
        <v>127.77</v>
      </c>
      <c r="H120" s="3"/>
      <c r="I120" s="3"/>
      <c r="J120" s="3">
        <v>127.24</v>
      </c>
      <c r="K120" s="3"/>
      <c r="L120" s="3"/>
      <c r="M120" s="4">
        <v>98.581999999999994</v>
      </c>
      <c r="N120" s="4"/>
      <c r="O120" s="4"/>
      <c r="P120" s="6">
        <v>121.55</v>
      </c>
      <c r="Q120" s="6"/>
      <c r="R120" s="6"/>
      <c r="S120" s="6">
        <v>130.04</v>
      </c>
      <c r="T120" s="6"/>
      <c r="U120" s="6"/>
      <c r="V120" s="6">
        <v>142.44</v>
      </c>
      <c r="W120" s="6"/>
      <c r="X120" s="6"/>
      <c r="Y120" s="6">
        <v>174.4</v>
      </c>
      <c r="Z120" s="6"/>
      <c r="AA120" s="6"/>
    </row>
    <row r="121" spans="1:27" x14ac:dyDescent="0.2">
      <c r="A121" s="2">
        <v>112.38</v>
      </c>
      <c r="B121" s="2"/>
      <c r="C121" s="2"/>
      <c r="D121" s="2">
        <v>115.1</v>
      </c>
      <c r="E121" s="2"/>
      <c r="F121" s="2"/>
      <c r="G121" s="3">
        <v>127.77</v>
      </c>
      <c r="H121" s="3"/>
      <c r="I121" s="3"/>
      <c r="J121" s="3">
        <v>127.24</v>
      </c>
      <c r="K121" s="3"/>
      <c r="L121" s="3"/>
      <c r="M121" s="4">
        <v>99.567999999999998</v>
      </c>
      <c r="N121" s="4"/>
      <c r="O121" s="4"/>
      <c r="P121" s="6">
        <v>121.55</v>
      </c>
      <c r="Q121" s="6"/>
      <c r="R121" s="6"/>
      <c r="S121" s="6">
        <v>130.04</v>
      </c>
      <c r="T121" s="6"/>
      <c r="U121" s="6"/>
      <c r="V121" s="6">
        <v>140.93</v>
      </c>
      <c r="W121" s="6"/>
      <c r="X121" s="6"/>
      <c r="Y121" s="6">
        <v>175.01</v>
      </c>
      <c r="Z121" s="6"/>
      <c r="AA12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C-Meridian-60FPS</vt:lpstr>
      <vt:lpstr>C-Meridian-60FPS-FSRCNNX16-2x</vt:lpstr>
      <vt:lpstr>C-Meridian24FPS</vt:lpstr>
      <vt:lpstr>C-Meridian-24FPS-FSRCNNX16</vt:lpstr>
      <vt:lpstr>A-BBB60FPS</vt:lpstr>
      <vt:lpstr>A-BBB60FPS-FSRCNNX16-2x</vt:lpstr>
      <vt:lpstr>A-BBB60FPS-ANIMEJaNaiBAL-2x</vt:lpstr>
      <vt:lpstr>A-BBB24FPS</vt:lpstr>
      <vt:lpstr>A-BBB24FPS-FSRCNNX16-2x</vt:lpstr>
      <vt:lpstr>A-BBB24FPS-ANIMEJaNaiBAL-2x</vt:lpstr>
      <vt:lpstr>EXTRAVAL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Queirós Da Silva Adriano</dc:creator>
  <cp:lastModifiedBy>Queirós Da Silva Adriano</cp:lastModifiedBy>
  <dcterms:created xsi:type="dcterms:W3CDTF">2026-09-05T11:32:31Z</dcterms:created>
  <dcterms:modified xsi:type="dcterms:W3CDTF">2026-09-14T17:32:31Z</dcterms:modified>
</cp:coreProperties>
</file>