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0-NXT\HESGE\20-TravailBachelor\03-Donnees\4080s\"/>
    </mc:Choice>
  </mc:AlternateContent>
  <xr:revisionPtr revIDLastSave="0" documentId="13_ncr:1_{BD31C2AA-68D9-4248-97BE-9A2F67F225B8}" xr6:coauthVersionLast="47" xr6:coauthVersionMax="47" xr10:uidLastSave="{00000000-0000-0000-0000-000000000000}"/>
  <bookViews>
    <workbookView xWindow="6810" yWindow="21480" windowWidth="38640" windowHeight="21120" activeTab="8" xr2:uid="{8E754DE0-1BEE-B244-A1EF-3190E85B1CFD}"/>
  </bookViews>
  <sheets>
    <sheet name="C-Meridian-60FPS" sheetId="1" r:id="rId1"/>
    <sheet name="C-Meridian-60FPS-VSR4K" sheetId="10" r:id="rId2"/>
    <sheet name="C-Meridian24FPS" sheetId="3" r:id="rId3"/>
    <sheet name="C-Meridian24FPS-VSR4K" sheetId="12" r:id="rId4"/>
    <sheet name="A-BBB60FPS" sheetId="4" r:id="rId5"/>
    <sheet name="A-BBB60FPS-VSR4K" sheetId="11" r:id="rId6"/>
    <sheet name="A-BBB24FPS" sheetId="6" r:id="rId7"/>
    <sheet name="A-BBB24FPS-VSR4K" sheetId="13" r:id="rId8"/>
    <sheet name="EXTRAV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" i="9" l="1"/>
  <c r="G2" i="13"/>
  <c r="H2" i="13"/>
  <c r="I2" i="13"/>
  <c r="G3" i="13"/>
  <c r="H3" i="13"/>
  <c r="I3" i="13"/>
  <c r="G4" i="13"/>
  <c r="H4" i="13"/>
  <c r="I4" i="13" s="1"/>
  <c r="G5" i="13"/>
  <c r="I5" i="13" s="1"/>
  <c r="H5" i="13"/>
  <c r="I4" i="9"/>
  <c r="G5" i="4"/>
  <c r="I5" i="4" s="1"/>
  <c r="J5" i="4" s="1"/>
  <c r="I5" i="10"/>
  <c r="J5" i="10" s="1"/>
  <c r="I4" i="10"/>
  <c r="J4" i="10" s="1"/>
  <c r="I3" i="10"/>
  <c r="J3" i="10" s="1"/>
  <c r="I2" i="10"/>
  <c r="J2" i="10" s="1"/>
  <c r="J5" i="12"/>
  <c r="I2" i="1"/>
  <c r="I3" i="1"/>
  <c r="I4" i="1"/>
  <c r="I5" i="1"/>
  <c r="I6" i="1"/>
  <c r="H2" i="1"/>
  <c r="H3" i="1"/>
  <c r="H4" i="1"/>
  <c r="H6" i="1"/>
  <c r="I5" i="12"/>
  <c r="I4" i="12"/>
  <c r="J4" i="12" s="1"/>
  <c r="I3" i="12"/>
  <c r="J3" i="12" s="1"/>
  <c r="I2" i="12"/>
  <c r="J2" i="12" s="1"/>
  <c r="J3" i="4"/>
  <c r="J4" i="4"/>
  <c r="J6" i="4"/>
  <c r="J2" i="4"/>
  <c r="R5" i="9"/>
  <c r="L5" i="9"/>
  <c r="I5" i="9"/>
  <c r="F5" i="9"/>
  <c r="C5" i="9"/>
  <c r="C4" i="9"/>
  <c r="C3" i="9"/>
  <c r="U4" i="9"/>
  <c r="U3" i="9"/>
  <c r="U2" i="9"/>
  <c r="U1" i="9"/>
  <c r="L2" i="9"/>
  <c r="R2" i="9"/>
  <c r="O2" i="9"/>
  <c r="L3" i="9"/>
  <c r="R3" i="9"/>
  <c r="R4" i="9" s="1"/>
  <c r="O3" i="9"/>
  <c r="C2" i="9"/>
  <c r="H2" i="12"/>
  <c r="H3" i="12"/>
  <c r="H4" i="12"/>
  <c r="H5" i="12"/>
  <c r="G5" i="12"/>
  <c r="G4" i="12"/>
  <c r="G3" i="12"/>
  <c r="G2" i="12"/>
  <c r="H3" i="6"/>
  <c r="I3" i="6" s="1"/>
  <c r="H2" i="6"/>
  <c r="I6" i="6"/>
  <c r="I5" i="6"/>
  <c r="I4" i="6"/>
  <c r="I2" i="6"/>
  <c r="I6" i="4"/>
  <c r="I4" i="4"/>
  <c r="I3" i="4"/>
  <c r="I2" i="4"/>
  <c r="H6" i="4"/>
  <c r="H4" i="10"/>
  <c r="H2" i="3"/>
  <c r="H4" i="3"/>
  <c r="H6" i="3"/>
  <c r="I6" i="3" s="1"/>
  <c r="I5" i="3"/>
  <c r="I4" i="3"/>
  <c r="I3" i="3"/>
  <c r="I2" i="3"/>
  <c r="H5" i="11"/>
  <c r="G5" i="11"/>
  <c r="I5" i="11" s="1"/>
  <c r="H4" i="11"/>
  <c r="G4" i="11"/>
  <c r="I4" i="11" s="1"/>
  <c r="H3" i="11"/>
  <c r="G3" i="11"/>
  <c r="I3" i="11" s="1"/>
  <c r="H2" i="11"/>
  <c r="G2" i="11"/>
  <c r="I2" i="11" s="1"/>
  <c r="H2" i="10"/>
  <c r="H3" i="10"/>
  <c r="G5" i="10"/>
  <c r="H5" i="10"/>
  <c r="G4" i="10"/>
  <c r="G3" i="10"/>
  <c r="G2" i="10"/>
  <c r="I3" i="9"/>
  <c r="F3" i="9"/>
  <c r="F4" i="9" s="1"/>
  <c r="G6" i="6"/>
  <c r="G5" i="6"/>
  <c r="G4" i="6"/>
  <c r="G3" i="6"/>
  <c r="G2" i="6"/>
  <c r="G6" i="4"/>
  <c r="G4" i="4"/>
  <c r="G3" i="4"/>
  <c r="G2" i="4"/>
  <c r="G6" i="3"/>
  <c r="G5" i="3"/>
  <c r="G4" i="3"/>
  <c r="G3" i="3"/>
  <c r="G2" i="3"/>
  <c r="G6" i="1"/>
  <c r="G5" i="1"/>
  <c r="G4" i="1"/>
  <c r="G3" i="1"/>
  <c r="G2" i="1"/>
  <c r="O4" i="9" l="1"/>
  <c r="L4" i="9"/>
</calcChain>
</file>

<file path=xl/sharedStrings.xml><?xml version="1.0" encoding="utf-8"?>
<sst xmlns="http://schemas.openxmlformats.org/spreadsheetml/2006/main" count="177" uniqueCount="31">
  <si>
    <t>Avg</t>
  </si>
  <si>
    <t>360p</t>
  </si>
  <si>
    <t>720p</t>
  </si>
  <si>
    <t>480p</t>
  </si>
  <si>
    <t>1080p</t>
  </si>
  <si>
    <t>4k</t>
  </si>
  <si>
    <t>value</t>
  </si>
  <si>
    <t>W</t>
  </si>
  <si>
    <t>PC W</t>
  </si>
  <si>
    <t>value 4k</t>
  </si>
  <si>
    <t>value 1080</t>
  </si>
  <si>
    <t>value 720p</t>
  </si>
  <si>
    <t>value 480p</t>
  </si>
  <si>
    <t>value 360p</t>
  </si>
  <si>
    <t>GPU</t>
  </si>
  <si>
    <t>S-Karting-4k-60FPS</t>
  </si>
  <si>
    <t>A-Sollevante-1080p-24FPS</t>
  </si>
  <si>
    <t>V-Beauty-480p-24fps</t>
  </si>
  <si>
    <t>Without GPU</t>
  </si>
  <si>
    <t>NA</t>
  </si>
  <si>
    <t>A-Sollevante-1080p-24FPS-VSR</t>
  </si>
  <si>
    <t>V-Beauty-480p-24fps-VSR</t>
  </si>
  <si>
    <t>S-Karting-720p-60FPS-VSR</t>
  </si>
  <si>
    <t>AVERGAGE COMPUTER</t>
  </si>
  <si>
    <t>MIN COMPUTER</t>
  </si>
  <si>
    <t>GPU AVERAGE</t>
  </si>
  <si>
    <t>MAX COMPUTER</t>
  </si>
  <si>
    <t>MEDIAN COMPUTER</t>
  </si>
  <si>
    <t>PC WITH GPU IDLE</t>
  </si>
  <si>
    <t>PC Without GPU</t>
  </si>
  <si>
    <t>VALIES WITH CHROME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</si>
</sst>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23D07F-3AB1-FE4E-83F6-25D06017EBE2}">
  <we:reference id="WA200011056" version="1.0.0.2" store="Omex" storeType="OMEX"/>
  <we:alternateReferences>
    <we:reference id="WA200011056" version="1.0.0.2" store="WA20001105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C13D-1FF9-9149-8121-F088AE6A4503}">
  <dimension ref="A1:I130"/>
  <sheetViews>
    <sheetView workbookViewId="0">
      <selection activeCell="H6" sqref="H6"/>
    </sheetView>
  </sheetViews>
  <sheetFormatPr baseColWidth="10" defaultRowHeight="15.75" x14ac:dyDescent="0.25"/>
  <cols>
    <col min="7" max="7" width="11.5" customWidth="1"/>
    <col min="9" max="9" width="14.5" customWidth="1"/>
  </cols>
  <sheetData>
    <row r="1" spans="1:9" x14ac:dyDescent="0.25">
      <c r="A1" t="s">
        <v>13</v>
      </c>
      <c r="B1" t="s">
        <v>12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18</v>
      </c>
    </row>
    <row r="2" spans="1:9" x14ac:dyDescent="0.25">
      <c r="A2">
        <v>128.83000000000001</v>
      </c>
      <c r="B2">
        <v>113.51</v>
      </c>
      <c r="C2">
        <v>114.68</v>
      </c>
      <c r="D2">
        <v>127.04</v>
      </c>
      <c r="E2">
        <v>123.88</v>
      </c>
      <c r="F2" t="s">
        <v>1</v>
      </c>
      <c r="G2">
        <f>AVERAGE(A:A)</f>
        <v>120.28049180327871</v>
      </c>
      <c r="H2">
        <f t="shared" ref="H2:H3" si="0">AVERAGE(18,19)</f>
        <v>18.5</v>
      </c>
      <c r="I2">
        <f t="shared" ref="I2:I5" si="1">G2-H2</f>
        <v>101.78049180327871</v>
      </c>
    </row>
    <row r="3" spans="1:9" x14ac:dyDescent="0.25">
      <c r="A3">
        <v>117.41</v>
      </c>
      <c r="B3">
        <v>113.51</v>
      </c>
      <c r="C3">
        <v>140.54</v>
      </c>
      <c r="D3">
        <v>127.04</v>
      </c>
      <c r="E3">
        <v>123.88</v>
      </c>
      <c r="F3" t="s">
        <v>3</v>
      </c>
      <c r="G3">
        <f>AVERAGE(B:B)</f>
        <v>120.31113821138216</v>
      </c>
      <c r="H3">
        <f t="shared" si="0"/>
        <v>18.5</v>
      </c>
      <c r="I3">
        <f t="shared" si="1"/>
        <v>101.81113821138216</v>
      </c>
    </row>
    <row r="4" spans="1:9" x14ac:dyDescent="0.25">
      <c r="A4">
        <v>117.41</v>
      </c>
      <c r="B4">
        <v>145.07</v>
      </c>
      <c r="C4">
        <v>140.54</v>
      </c>
      <c r="D4">
        <v>134.91</v>
      </c>
      <c r="E4">
        <v>120.36</v>
      </c>
      <c r="F4" t="s">
        <v>2</v>
      </c>
      <c r="G4">
        <f>AVERAGE(C:C)</f>
        <v>120.44108333333338</v>
      </c>
      <c r="H4">
        <f>AVERAGE(18,19)</f>
        <v>18.5</v>
      </c>
      <c r="I4">
        <f t="shared" si="1"/>
        <v>101.94108333333338</v>
      </c>
    </row>
    <row r="5" spans="1:9" x14ac:dyDescent="0.25">
      <c r="A5">
        <v>128.36000000000001</v>
      </c>
      <c r="B5">
        <v>145.07</v>
      </c>
      <c r="C5">
        <v>115.37</v>
      </c>
      <c r="D5">
        <v>134.91</v>
      </c>
      <c r="E5">
        <v>120.36</v>
      </c>
      <c r="F5" t="s">
        <v>4</v>
      </c>
      <c r="G5">
        <f>AVERAGE(D:D)</f>
        <v>121.64756097560975</v>
      </c>
      <c r="H5">
        <v>20</v>
      </c>
      <c r="I5">
        <f t="shared" si="1"/>
        <v>101.64756097560975</v>
      </c>
    </row>
    <row r="6" spans="1:9" x14ac:dyDescent="0.25">
      <c r="A6">
        <v>128.36000000000001</v>
      </c>
      <c r="B6">
        <v>119.3</v>
      </c>
      <c r="C6">
        <v>115.37</v>
      </c>
      <c r="D6">
        <v>115.04</v>
      </c>
      <c r="E6">
        <v>153.69999999999999</v>
      </c>
      <c r="F6" t="s">
        <v>5</v>
      </c>
      <c r="G6">
        <f>AVERAGE(E:E)</f>
        <v>128.20542635658913</v>
      </c>
      <c r="H6">
        <f>AVERAGE(22,23)</f>
        <v>22.5</v>
      </c>
      <c r="I6">
        <f>G6-H6</f>
        <v>105.70542635658913</v>
      </c>
    </row>
    <row r="7" spans="1:9" x14ac:dyDescent="0.25">
      <c r="A7">
        <v>114.49</v>
      </c>
      <c r="B7">
        <v>119.3</v>
      </c>
      <c r="C7">
        <v>113.93</v>
      </c>
      <c r="D7">
        <v>115.04</v>
      </c>
      <c r="E7">
        <v>153.69999999999999</v>
      </c>
    </row>
    <row r="8" spans="1:9" x14ac:dyDescent="0.25">
      <c r="A8">
        <v>114.49</v>
      </c>
      <c r="B8">
        <v>112.05</v>
      </c>
      <c r="C8">
        <v>113.93</v>
      </c>
      <c r="D8">
        <v>113.76</v>
      </c>
      <c r="E8">
        <v>120.56</v>
      </c>
    </row>
    <row r="9" spans="1:9" x14ac:dyDescent="0.25">
      <c r="A9">
        <v>116.39</v>
      </c>
      <c r="B9">
        <v>112.05</v>
      </c>
      <c r="C9">
        <v>124.68</v>
      </c>
      <c r="D9">
        <v>113.76</v>
      </c>
      <c r="E9">
        <v>120.56</v>
      </c>
    </row>
    <row r="10" spans="1:9" x14ac:dyDescent="0.25">
      <c r="A10">
        <v>116.39</v>
      </c>
      <c r="B10">
        <v>121.44</v>
      </c>
      <c r="C10">
        <v>124.68</v>
      </c>
      <c r="D10">
        <v>120.02</v>
      </c>
      <c r="E10">
        <v>124.76</v>
      </c>
    </row>
    <row r="11" spans="1:9" x14ac:dyDescent="0.25">
      <c r="A11">
        <v>130.07</v>
      </c>
      <c r="B11">
        <v>121.44</v>
      </c>
      <c r="C11">
        <v>121.73</v>
      </c>
      <c r="D11">
        <v>120.02</v>
      </c>
      <c r="E11">
        <v>124.76</v>
      </c>
    </row>
    <row r="12" spans="1:9" x14ac:dyDescent="0.25">
      <c r="A12">
        <v>130.07</v>
      </c>
      <c r="B12">
        <v>111.41</v>
      </c>
      <c r="C12">
        <v>121.73</v>
      </c>
      <c r="D12">
        <v>127.37</v>
      </c>
      <c r="E12">
        <v>121.58</v>
      </c>
    </row>
    <row r="13" spans="1:9" x14ac:dyDescent="0.25">
      <c r="A13">
        <v>114.62</v>
      </c>
      <c r="B13">
        <v>111.41</v>
      </c>
      <c r="C13">
        <v>137.32</v>
      </c>
      <c r="D13">
        <v>127.37</v>
      </c>
      <c r="E13">
        <v>121.58</v>
      </c>
    </row>
    <row r="14" spans="1:9" x14ac:dyDescent="0.25">
      <c r="A14">
        <v>114.62</v>
      </c>
      <c r="B14">
        <v>138.21</v>
      </c>
      <c r="C14">
        <v>137.32</v>
      </c>
      <c r="D14">
        <v>131.62</v>
      </c>
      <c r="E14">
        <v>128.99</v>
      </c>
    </row>
    <row r="15" spans="1:9" x14ac:dyDescent="0.25">
      <c r="A15">
        <v>127.59</v>
      </c>
      <c r="B15">
        <v>138.21</v>
      </c>
      <c r="C15">
        <v>120.11</v>
      </c>
      <c r="D15">
        <v>131.62</v>
      </c>
      <c r="E15">
        <v>128.99</v>
      </c>
    </row>
    <row r="16" spans="1:9" x14ac:dyDescent="0.25">
      <c r="A16">
        <v>127.59</v>
      </c>
      <c r="B16">
        <v>114.23</v>
      </c>
      <c r="C16">
        <v>120.11</v>
      </c>
      <c r="D16">
        <v>115.99</v>
      </c>
      <c r="E16">
        <v>148.22</v>
      </c>
    </row>
    <row r="17" spans="1:5" x14ac:dyDescent="0.25">
      <c r="A17">
        <v>122.96</v>
      </c>
      <c r="B17">
        <v>114.23</v>
      </c>
      <c r="C17">
        <v>116.86</v>
      </c>
      <c r="D17">
        <v>115.99</v>
      </c>
      <c r="E17">
        <v>148.22</v>
      </c>
    </row>
    <row r="18" spans="1:5" x14ac:dyDescent="0.25">
      <c r="A18">
        <v>122.96</v>
      </c>
      <c r="B18">
        <v>119.41</v>
      </c>
      <c r="C18">
        <v>116.86</v>
      </c>
      <c r="D18">
        <v>120.52</v>
      </c>
      <c r="E18">
        <v>119.74</v>
      </c>
    </row>
    <row r="19" spans="1:5" x14ac:dyDescent="0.25">
      <c r="A19">
        <v>119.05</v>
      </c>
      <c r="B19">
        <v>119.41</v>
      </c>
      <c r="C19">
        <v>115.47</v>
      </c>
      <c r="D19">
        <v>120.52</v>
      </c>
      <c r="E19">
        <v>119.74</v>
      </c>
    </row>
    <row r="20" spans="1:5" x14ac:dyDescent="0.25">
      <c r="A20">
        <v>119.05</v>
      </c>
      <c r="B20">
        <v>111.88</v>
      </c>
      <c r="C20">
        <v>115.47</v>
      </c>
      <c r="D20">
        <v>116.29</v>
      </c>
      <c r="E20">
        <v>127.14</v>
      </c>
    </row>
    <row r="21" spans="1:5" x14ac:dyDescent="0.25">
      <c r="A21">
        <v>132.44</v>
      </c>
      <c r="B21">
        <v>111.88</v>
      </c>
      <c r="C21">
        <v>120.62</v>
      </c>
      <c r="D21">
        <v>116.29</v>
      </c>
      <c r="E21">
        <v>127.14</v>
      </c>
    </row>
    <row r="22" spans="1:5" x14ac:dyDescent="0.25">
      <c r="A22">
        <v>132.44</v>
      </c>
      <c r="B22">
        <v>120.98</v>
      </c>
      <c r="C22">
        <v>120.62</v>
      </c>
      <c r="D22">
        <v>126.02</v>
      </c>
      <c r="E22">
        <v>121.66</v>
      </c>
    </row>
    <row r="23" spans="1:5" x14ac:dyDescent="0.25">
      <c r="A23">
        <v>114.48</v>
      </c>
      <c r="B23">
        <v>120.98</v>
      </c>
      <c r="C23">
        <v>139.49</v>
      </c>
      <c r="D23">
        <v>126.02</v>
      </c>
      <c r="E23">
        <v>121.66</v>
      </c>
    </row>
    <row r="24" spans="1:5" x14ac:dyDescent="0.25">
      <c r="A24">
        <v>114.48</v>
      </c>
      <c r="B24">
        <v>127.57</v>
      </c>
      <c r="C24">
        <v>139.49</v>
      </c>
      <c r="D24">
        <v>131.91999999999999</v>
      </c>
      <c r="E24">
        <v>118.32</v>
      </c>
    </row>
    <row r="25" spans="1:5" x14ac:dyDescent="0.25">
      <c r="A25">
        <v>126.81</v>
      </c>
      <c r="B25">
        <v>127.57</v>
      </c>
      <c r="C25">
        <v>117.52</v>
      </c>
      <c r="D25">
        <v>131.91999999999999</v>
      </c>
      <c r="E25">
        <v>118.32</v>
      </c>
    </row>
    <row r="26" spans="1:5" x14ac:dyDescent="0.25">
      <c r="A26">
        <v>126.81</v>
      </c>
      <c r="B26">
        <v>111.55</v>
      </c>
      <c r="C26">
        <v>117.52</v>
      </c>
      <c r="D26">
        <v>114.29</v>
      </c>
      <c r="E26">
        <v>159.9</v>
      </c>
    </row>
    <row r="27" spans="1:5" x14ac:dyDescent="0.25">
      <c r="A27">
        <v>116.65</v>
      </c>
      <c r="B27">
        <v>111.55</v>
      </c>
      <c r="C27">
        <v>118.63</v>
      </c>
      <c r="D27">
        <v>114.29</v>
      </c>
      <c r="E27">
        <v>159.9</v>
      </c>
    </row>
    <row r="28" spans="1:5" x14ac:dyDescent="0.25">
      <c r="A28">
        <v>116.65</v>
      </c>
      <c r="B28">
        <v>116.24</v>
      </c>
      <c r="C28">
        <v>118.63</v>
      </c>
      <c r="D28">
        <v>116.49</v>
      </c>
      <c r="E28">
        <v>140.13</v>
      </c>
    </row>
    <row r="29" spans="1:5" x14ac:dyDescent="0.25">
      <c r="A29">
        <v>114.83</v>
      </c>
      <c r="B29">
        <v>116.24</v>
      </c>
      <c r="C29">
        <v>124.84</v>
      </c>
      <c r="D29">
        <v>116.49</v>
      </c>
      <c r="E29">
        <v>140.13</v>
      </c>
    </row>
    <row r="30" spans="1:5" x14ac:dyDescent="0.25">
      <c r="A30">
        <v>114.83</v>
      </c>
      <c r="B30">
        <v>113.8</v>
      </c>
      <c r="C30">
        <v>124.84</v>
      </c>
      <c r="D30">
        <v>121.09</v>
      </c>
      <c r="E30">
        <v>130.86000000000001</v>
      </c>
    </row>
    <row r="31" spans="1:5" x14ac:dyDescent="0.25">
      <c r="A31">
        <v>135.66999999999999</v>
      </c>
      <c r="B31">
        <v>113.8</v>
      </c>
      <c r="C31">
        <v>112.16</v>
      </c>
      <c r="D31">
        <v>121.09</v>
      </c>
      <c r="E31">
        <v>130.86000000000001</v>
      </c>
    </row>
    <row r="32" spans="1:5" x14ac:dyDescent="0.25">
      <c r="A32">
        <v>135.66999999999999</v>
      </c>
      <c r="B32">
        <v>114.84</v>
      </c>
      <c r="C32">
        <v>112.16</v>
      </c>
      <c r="D32">
        <v>121.73</v>
      </c>
      <c r="E32">
        <v>119.27</v>
      </c>
    </row>
    <row r="33" spans="1:5" x14ac:dyDescent="0.25">
      <c r="A33">
        <v>111.6</v>
      </c>
      <c r="B33">
        <v>114.84</v>
      </c>
      <c r="C33">
        <v>131.76</v>
      </c>
      <c r="D33">
        <v>121.73</v>
      </c>
      <c r="E33">
        <v>119.27</v>
      </c>
    </row>
    <row r="34" spans="1:5" x14ac:dyDescent="0.25">
      <c r="A34">
        <v>111.6</v>
      </c>
      <c r="B34">
        <v>128.91999999999999</v>
      </c>
      <c r="C34">
        <v>131.76</v>
      </c>
      <c r="D34">
        <v>137.4</v>
      </c>
      <c r="E34">
        <v>123.09</v>
      </c>
    </row>
    <row r="35" spans="1:5" x14ac:dyDescent="0.25">
      <c r="A35">
        <v>142.77000000000001</v>
      </c>
      <c r="B35">
        <v>128.91999999999999</v>
      </c>
      <c r="C35">
        <v>114.73</v>
      </c>
      <c r="D35">
        <v>137.4</v>
      </c>
      <c r="E35">
        <v>123.09</v>
      </c>
    </row>
    <row r="36" spans="1:5" x14ac:dyDescent="0.25">
      <c r="A36">
        <v>142.77000000000001</v>
      </c>
      <c r="B36">
        <v>117.5</v>
      </c>
      <c r="C36">
        <v>114.73</v>
      </c>
      <c r="D36">
        <v>119.36</v>
      </c>
      <c r="E36">
        <v>139.68</v>
      </c>
    </row>
    <row r="37" spans="1:5" x14ac:dyDescent="0.25">
      <c r="A37">
        <v>119.1</v>
      </c>
      <c r="B37">
        <v>117.5</v>
      </c>
      <c r="C37">
        <v>116.31</v>
      </c>
      <c r="D37">
        <v>119.36</v>
      </c>
      <c r="E37">
        <v>139.68</v>
      </c>
    </row>
    <row r="38" spans="1:5" x14ac:dyDescent="0.25">
      <c r="A38">
        <v>119.1</v>
      </c>
      <c r="B38">
        <v>112.6</v>
      </c>
      <c r="C38">
        <v>116.31</v>
      </c>
      <c r="D38">
        <v>115.14</v>
      </c>
      <c r="E38">
        <v>126.63</v>
      </c>
    </row>
    <row r="39" spans="1:5" x14ac:dyDescent="0.25">
      <c r="A39">
        <v>111.02</v>
      </c>
      <c r="B39">
        <v>112.6</v>
      </c>
      <c r="C39">
        <v>115.37</v>
      </c>
      <c r="D39">
        <v>115.14</v>
      </c>
      <c r="E39">
        <v>126.63</v>
      </c>
    </row>
    <row r="40" spans="1:5" x14ac:dyDescent="0.25">
      <c r="A40">
        <v>111.02</v>
      </c>
      <c r="B40">
        <v>115.02</v>
      </c>
      <c r="C40">
        <v>115.37</v>
      </c>
      <c r="D40">
        <v>116.72</v>
      </c>
      <c r="E40">
        <v>130.33000000000001</v>
      </c>
    </row>
    <row r="41" spans="1:5" x14ac:dyDescent="0.25">
      <c r="A41">
        <v>115.97</v>
      </c>
      <c r="B41">
        <v>115.02</v>
      </c>
      <c r="C41">
        <v>121.29</v>
      </c>
      <c r="D41">
        <v>116.72</v>
      </c>
      <c r="E41">
        <v>130.33000000000001</v>
      </c>
    </row>
    <row r="42" spans="1:5" x14ac:dyDescent="0.25">
      <c r="A42">
        <v>112.55</v>
      </c>
      <c r="B42">
        <v>118.47</v>
      </c>
      <c r="C42">
        <v>121.29</v>
      </c>
      <c r="D42">
        <v>118.7</v>
      </c>
      <c r="E42">
        <v>121.35</v>
      </c>
    </row>
    <row r="43" spans="1:5" x14ac:dyDescent="0.25">
      <c r="A43">
        <v>112.55</v>
      </c>
      <c r="B43">
        <v>118.47</v>
      </c>
      <c r="C43">
        <v>125.02</v>
      </c>
      <c r="D43">
        <v>118.7</v>
      </c>
      <c r="E43">
        <v>121.35</v>
      </c>
    </row>
    <row r="44" spans="1:5" x14ac:dyDescent="0.25">
      <c r="A44">
        <v>132.12</v>
      </c>
      <c r="B44">
        <v>136.87</v>
      </c>
      <c r="C44">
        <v>125.02</v>
      </c>
      <c r="D44">
        <v>134.03</v>
      </c>
      <c r="E44">
        <v>118.55</v>
      </c>
    </row>
    <row r="45" spans="1:5" x14ac:dyDescent="0.25">
      <c r="A45">
        <v>132.12</v>
      </c>
      <c r="B45">
        <v>136.87</v>
      </c>
      <c r="C45">
        <v>116.49</v>
      </c>
      <c r="D45">
        <v>134.03</v>
      </c>
      <c r="E45">
        <v>118.55</v>
      </c>
    </row>
    <row r="46" spans="1:5" x14ac:dyDescent="0.25">
      <c r="A46">
        <v>118.57</v>
      </c>
      <c r="B46">
        <v>113.65</v>
      </c>
      <c r="C46">
        <v>116.49</v>
      </c>
      <c r="D46">
        <v>113.41</v>
      </c>
      <c r="E46">
        <v>150.82</v>
      </c>
    </row>
    <row r="47" spans="1:5" x14ac:dyDescent="0.25">
      <c r="A47">
        <v>118.57</v>
      </c>
      <c r="B47">
        <v>113.65</v>
      </c>
      <c r="C47">
        <v>115.22</v>
      </c>
      <c r="D47">
        <v>113.41</v>
      </c>
      <c r="E47">
        <v>150.82</v>
      </c>
    </row>
    <row r="48" spans="1:5" x14ac:dyDescent="0.25">
      <c r="A48">
        <v>116.27</v>
      </c>
      <c r="B48">
        <v>117.33</v>
      </c>
      <c r="C48">
        <v>115.22</v>
      </c>
      <c r="D48">
        <v>120.45</v>
      </c>
      <c r="E48">
        <v>123.59</v>
      </c>
    </row>
    <row r="49" spans="1:5" x14ac:dyDescent="0.25">
      <c r="A49">
        <v>116.27</v>
      </c>
      <c r="B49">
        <v>112.43</v>
      </c>
      <c r="C49">
        <v>116.79</v>
      </c>
      <c r="D49">
        <v>120.45</v>
      </c>
      <c r="E49">
        <v>123.59</v>
      </c>
    </row>
    <row r="50" spans="1:5" x14ac:dyDescent="0.25">
      <c r="A50">
        <v>118.2</v>
      </c>
      <c r="B50">
        <v>112.43</v>
      </c>
      <c r="C50">
        <v>116.79</v>
      </c>
      <c r="D50">
        <v>116.65</v>
      </c>
      <c r="E50">
        <v>118.16</v>
      </c>
    </row>
    <row r="51" spans="1:5" x14ac:dyDescent="0.25">
      <c r="A51">
        <v>118.2</v>
      </c>
      <c r="B51">
        <v>115.47</v>
      </c>
      <c r="C51">
        <v>118.94</v>
      </c>
      <c r="D51">
        <v>116.65</v>
      </c>
      <c r="E51">
        <v>118.16</v>
      </c>
    </row>
    <row r="52" spans="1:5" x14ac:dyDescent="0.25">
      <c r="A52">
        <v>114.01</v>
      </c>
      <c r="B52">
        <v>115.47</v>
      </c>
      <c r="C52">
        <v>118.94</v>
      </c>
      <c r="D52">
        <v>114.97</v>
      </c>
      <c r="E52">
        <v>131.16999999999999</v>
      </c>
    </row>
    <row r="53" spans="1:5" x14ac:dyDescent="0.25">
      <c r="A53">
        <v>114.01</v>
      </c>
      <c r="B53">
        <v>151.80000000000001</v>
      </c>
      <c r="C53">
        <v>129.41999999999999</v>
      </c>
      <c r="D53">
        <v>114.97</v>
      </c>
      <c r="E53">
        <v>131.16999999999999</v>
      </c>
    </row>
    <row r="54" spans="1:5" x14ac:dyDescent="0.25">
      <c r="A54">
        <v>134.68</v>
      </c>
      <c r="B54">
        <v>151.80000000000001</v>
      </c>
      <c r="C54">
        <v>129.41999999999999</v>
      </c>
      <c r="D54">
        <v>141.97999999999999</v>
      </c>
      <c r="E54">
        <v>123.04</v>
      </c>
    </row>
    <row r="55" spans="1:5" x14ac:dyDescent="0.25">
      <c r="A55">
        <v>134.68</v>
      </c>
      <c r="B55">
        <v>111.75</v>
      </c>
      <c r="C55">
        <v>117.69</v>
      </c>
      <c r="D55">
        <v>141.97999999999999</v>
      </c>
      <c r="E55">
        <v>123.04</v>
      </c>
    </row>
    <row r="56" spans="1:5" x14ac:dyDescent="0.25">
      <c r="A56">
        <v>114.97</v>
      </c>
      <c r="B56">
        <v>111.75</v>
      </c>
      <c r="C56">
        <v>117.69</v>
      </c>
      <c r="D56">
        <v>111.72</v>
      </c>
      <c r="E56">
        <v>149.26</v>
      </c>
    </row>
    <row r="57" spans="1:5" x14ac:dyDescent="0.25">
      <c r="A57">
        <v>114.97</v>
      </c>
      <c r="B57">
        <v>113.1</v>
      </c>
      <c r="C57">
        <v>113.17</v>
      </c>
      <c r="D57">
        <v>111.72</v>
      </c>
      <c r="E57">
        <v>149.26</v>
      </c>
    </row>
    <row r="58" spans="1:5" x14ac:dyDescent="0.25">
      <c r="A58">
        <v>113.02</v>
      </c>
      <c r="B58">
        <v>113.1</v>
      </c>
      <c r="C58">
        <v>113.17</v>
      </c>
      <c r="D58">
        <v>114.84</v>
      </c>
      <c r="E58">
        <v>123.13</v>
      </c>
    </row>
    <row r="59" spans="1:5" x14ac:dyDescent="0.25">
      <c r="A59">
        <v>113.02</v>
      </c>
      <c r="B59">
        <v>121.64</v>
      </c>
      <c r="C59">
        <v>125.44</v>
      </c>
      <c r="D59">
        <v>114.84</v>
      </c>
      <c r="E59">
        <v>126.63</v>
      </c>
    </row>
    <row r="60" spans="1:5" x14ac:dyDescent="0.25">
      <c r="A60">
        <v>124.2</v>
      </c>
      <c r="B60">
        <v>121.64</v>
      </c>
      <c r="C60">
        <v>125.44</v>
      </c>
      <c r="D60">
        <v>117.12</v>
      </c>
      <c r="E60">
        <v>126.63</v>
      </c>
    </row>
    <row r="61" spans="1:5" x14ac:dyDescent="0.25">
      <c r="A61">
        <v>124.2</v>
      </c>
      <c r="B61">
        <v>114.56</v>
      </c>
      <c r="C61">
        <v>116.71</v>
      </c>
      <c r="D61">
        <v>117.12</v>
      </c>
      <c r="E61">
        <v>126.63</v>
      </c>
    </row>
    <row r="62" spans="1:5" x14ac:dyDescent="0.25">
      <c r="A62">
        <v>111.02</v>
      </c>
      <c r="B62">
        <v>114.56</v>
      </c>
      <c r="C62">
        <v>116.71</v>
      </c>
      <c r="D62">
        <v>117.29</v>
      </c>
      <c r="E62">
        <v>128.05000000000001</v>
      </c>
    </row>
    <row r="63" spans="1:5" x14ac:dyDescent="0.25">
      <c r="A63">
        <v>111.02</v>
      </c>
      <c r="B63">
        <v>137.16999999999999</v>
      </c>
      <c r="C63">
        <v>133.82</v>
      </c>
      <c r="D63">
        <v>117.29</v>
      </c>
      <c r="E63">
        <v>120.49</v>
      </c>
    </row>
    <row r="64" spans="1:5" x14ac:dyDescent="0.25">
      <c r="A64">
        <v>135.27000000000001</v>
      </c>
      <c r="B64">
        <v>137.16999999999999</v>
      </c>
      <c r="C64">
        <v>133.82</v>
      </c>
      <c r="D64">
        <v>136.77000000000001</v>
      </c>
      <c r="E64">
        <v>120.49</v>
      </c>
    </row>
    <row r="65" spans="1:5" x14ac:dyDescent="0.25">
      <c r="A65">
        <v>135.27000000000001</v>
      </c>
      <c r="B65">
        <v>120.77</v>
      </c>
      <c r="C65">
        <v>116.82</v>
      </c>
      <c r="D65">
        <v>136.77000000000001</v>
      </c>
      <c r="E65">
        <v>120.49</v>
      </c>
    </row>
    <row r="66" spans="1:5" x14ac:dyDescent="0.25">
      <c r="A66">
        <v>120.78</v>
      </c>
      <c r="B66">
        <v>120.77</v>
      </c>
      <c r="C66">
        <v>116.82</v>
      </c>
      <c r="D66">
        <v>120.79</v>
      </c>
      <c r="E66">
        <v>160.46</v>
      </c>
    </row>
    <row r="67" spans="1:5" x14ac:dyDescent="0.25">
      <c r="A67">
        <v>120.78</v>
      </c>
      <c r="B67">
        <v>111.26</v>
      </c>
      <c r="C67">
        <v>117.19</v>
      </c>
      <c r="D67">
        <v>120.79</v>
      </c>
      <c r="E67">
        <v>118.45</v>
      </c>
    </row>
    <row r="68" spans="1:5" x14ac:dyDescent="0.25">
      <c r="A68">
        <v>114.96</v>
      </c>
      <c r="B68">
        <v>111.26</v>
      </c>
      <c r="C68">
        <v>117.19</v>
      </c>
      <c r="D68">
        <v>120.98</v>
      </c>
      <c r="E68">
        <v>118.45</v>
      </c>
    </row>
    <row r="69" spans="1:5" x14ac:dyDescent="0.25">
      <c r="A69">
        <v>114.96</v>
      </c>
      <c r="B69">
        <v>115.45</v>
      </c>
      <c r="C69">
        <v>112.97</v>
      </c>
      <c r="D69">
        <v>120.98</v>
      </c>
      <c r="E69">
        <v>122.97</v>
      </c>
    </row>
    <row r="70" spans="1:5" x14ac:dyDescent="0.25">
      <c r="A70">
        <v>125.13</v>
      </c>
      <c r="B70">
        <v>115.45</v>
      </c>
      <c r="C70">
        <v>112.97</v>
      </c>
      <c r="D70">
        <v>115.04</v>
      </c>
      <c r="E70">
        <v>122.97</v>
      </c>
    </row>
    <row r="71" spans="1:5" x14ac:dyDescent="0.25">
      <c r="A71">
        <v>125.13</v>
      </c>
      <c r="B71">
        <v>119.56</v>
      </c>
      <c r="C71">
        <v>118.03</v>
      </c>
      <c r="D71">
        <v>115.04</v>
      </c>
      <c r="E71">
        <v>122.22</v>
      </c>
    </row>
    <row r="72" spans="1:5" x14ac:dyDescent="0.25">
      <c r="A72">
        <v>112.96</v>
      </c>
      <c r="B72">
        <v>119.56</v>
      </c>
      <c r="C72">
        <v>118.03</v>
      </c>
      <c r="D72">
        <v>131.32</v>
      </c>
      <c r="E72">
        <v>122.22</v>
      </c>
    </row>
    <row r="73" spans="1:5" x14ac:dyDescent="0.25">
      <c r="A73">
        <v>112.96</v>
      </c>
      <c r="B73">
        <v>150.11000000000001</v>
      </c>
      <c r="C73">
        <v>134.30000000000001</v>
      </c>
      <c r="D73">
        <v>131.32</v>
      </c>
      <c r="E73">
        <v>125.5</v>
      </c>
    </row>
    <row r="74" spans="1:5" x14ac:dyDescent="0.25">
      <c r="A74">
        <v>122.58</v>
      </c>
      <c r="B74">
        <v>150.11000000000001</v>
      </c>
      <c r="C74">
        <v>113.62</v>
      </c>
      <c r="D74">
        <v>136.34</v>
      </c>
      <c r="E74">
        <v>125.5</v>
      </c>
    </row>
    <row r="75" spans="1:5" x14ac:dyDescent="0.25">
      <c r="A75">
        <v>122.58</v>
      </c>
      <c r="B75">
        <v>111.14</v>
      </c>
      <c r="C75">
        <v>113.62</v>
      </c>
      <c r="D75">
        <v>136.34</v>
      </c>
      <c r="E75">
        <v>149.6</v>
      </c>
    </row>
    <row r="76" spans="1:5" x14ac:dyDescent="0.25">
      <c r="A76">
        <v>109.84</v>
      </c>
      <c r="B76">
        <v>111.14</v>
      </c>
      <c r="C76">
        <v>113.62</v>
      </c>
      <c r="D76">
        <v>112.02</v>
      </c>
      <c r="E76">
        <v>149.6</v>
      </c>
    </row>
    <row r="77" spans="1:5" x14ac:dyDescent="0.25">
      <c r="A77">
        <v>109.84</v>
      </c>
      <c r="B77">
        <v>117.05</v>
      </c>
      <c r="C77">
        <v>123.65</v>
      </c>
      <c r="D77">
        <v>112.02</v>
      </c>
      <c r="E77">
        <v>127.29</v>
      </c>
    </row>
    <row r="78" spans="1:5" x14ac:dyDescent="0.25">
      <c r="A78">
        <v>119.65</v>
      </c>
      <c r="B78">
        <v>117.05</v>
      </c>
      <c r="C78">
        <v>121.54</v>
      </c>
      <c r="D78">
        <v>120</v>
      </c>
      <c r="E78">
        <v>127.29</v>
      </c>
    </row>
    <row r="79" spans="1:5" x14ac:dyDescent="0.25">
      <c r="A79">
        <v>119.65</v>
      </c>
      <c r="B79">
        <v>112.06</v>
      </c>
      <c r="C79">
        <v>121.54</v>
      </c>
      <c r="D79">
        <v>120</v>
      </c>
      <c r="E79">
        <v>127.01</v>
      </c>
    </row>
    <row r="80" spans="1:5" x14ac:dyDescent="0.25">
      <c r="A80">
        <v>126.33</v>
      </c>
      <c r="B80">
        <v>112.06</v>
      </c>
      <c r="C80">
        <v>115.12</v>
      </c>
      <c r="D80">
        <v>116.41</v>
      </c>
      <c r="E80">
        <v>127.01</v>
      </c>
    </row>
    <row r="81" spans="1:5" x14ac:dyDescent="0.25">
      <c r="A81">
        <v>126.33</v>
      </c>
      <c r="B81">
        <v>116.77</v>
      </c>
      <c r="C81">
        <v>115.12</v>
      </c>
      <c r="D81">
        <v>116.41</v>
      </c>
      <c r="E81">
        <v>122.46</v>
      </c>
    </row>
    <row r="82" spans="1:5" x14ac:dyDescent="0.25">
      <c r="A82">
        <v>114.83</v>
      </c>
      <c r="B82">
        <v>116.77</v>
      </c>
      <c r="C82">
        <v>135.34</v>
      </c>
      <c r="D82">
        <v>126.69</v>
      </c>
      <c r="E82">
        <v>122.46</v>
      </c>
    </row>
    <row r="83" spans="1:5" x14ac:dyDescent="0.25">
      <c r="A83">
        <v>114.83</v>
      </c>
      <c r="B83">
        <v>140.32</v>
      </c>
      <c r="C83">
        <v>135.34</v>
      </c>
      <c r="D83">
        <v>126.69</v>
      </c>
      <c r="E83">
        <v>125.48</v>
      </c>
    </row>
    <row r="84" spans="1:5" x14ac:dyDescent="0.25">
      <c r="A84">
        <v>128.5</v>
      </c>
      <c r="B84">
        <v>140.32</v>
      </c>
      <c r="C84">
        <v>117.38</v>
      </c>
      <c r="D84">
        <v>134.44999999999999</v>
      </c>
      <c r="E84">
        <v>125.48</v>
      </c>
    </row>
    <row r="85" spans="1:5" x14ac:dyDescent="0.25">
      <c r="A85">
        <v>128.5</v>
      </c>
      <c r="B85">
        <v>119.56</v>
      </c>
      <c r="C85">
        <v>117.38</v>
      </c>
      <c r="D85">
        <v>134.44999999999999</v>
      </c>
      <c r="E85">
        <v>148.12</v>
      </c>
    </row>
    <row r="86" spans="1:5" x14ac:dyDescent="0.25">
      <c r="A86">
        <v>114.2</v>
      </c>
      <c r="B86">
        <v>119.56</v>
      </c>
      <c r="C86">
        <v>111.67</v>
      </c>
      <c r="D86">
        <v>118.06</v>
      </c>
      <c r="E86">
        <v>148.12</v>
      </c>
    </row>
    <row r="87" spans="1:5" x14ac:dyDescent="0.25">
      <c r="A87">
        <v>114.2</v>
      </c>
      <c r="B87">
        <v>111.73</v>
      </c>
      <c r="C87">
        <v>111.67</v>
      </c>
      <c r="D87">
        <v>118.06</v>
      </c>
      <c r="E87">
        <v>119.87</v>
      </c>
    </row>
    <row r="88" spans="1:5" x14ac:dyDescent="0.25">
      <c r="A88">
        <v>114.46</v>
      </c>
      <c r="B88">
        <v>111.73</v>
      </c>
      <c r="C88">
        <v>119.65</v>
      </c>
      <c r="D88">
        <v>112.27</v>
      </c>
      <c r="E88">
        <v>119.87</v>
      </c>
    </row>
    <row r="89" spans="1:5" x14ac:dyDescent="0.25">
      <c r="A89">
        <v>114.46</v>
      </c>
      <c r="B89">
        <v>118.03</v>
      </c>
      <c r="C89">
        <v>119.65</v>
      </c>
      <c r="D89">
        <v>112.27</v>
      </c>
      <c r="E89">
        <v>121.74</v>
      </c>
    </row>
    <row r="90" spans="1:5" x14ac:dyDescent="0.25">
      <c r="A90">
        <v>131.32</v>
      </c>
      <c r="B90">
        <v>118.03</v>
      </c>
      <c r="C90">
        <v>113.45</v>
      </c>
      <c r="D90">
        <v>118.59</v>
      </c>
      <c r="E90">
        <v>121.74</v>
      </c>
    </row>
    <row r="91" spans="1:5" x14ac:dyDescent="0.25">
      <c r="A91">
        <v>131.32</v>
      </c>
      <c r="B91">
        <v>120.32</v>
      </c>
      <c r="C91">
        <v>113.45</v>
      </c>
      <c r="D91">
        <v>118.59</v>
      </c>
      <c r="E91">
        <v>120.11</v>
      </c>
    </row>
    <row r="92" spans="1:5" x14ac:dyDescent="0.25">
      <c r="A92">
        <v>115.3</v>
      </c>
      <c r="B92">
        <v>120.32</v>
      </c>
      <c r="C92">
        <v>139.27000000000001</v>
      </c>
      <c r="D92">
        <v>117.2</v>
      </c>
      <c r="E92">
        <v>120.11</v>
      </c>
    </row>
    <row r="93" spans="1:5" x14ac:dyDescent="0.25">
      <c r="A93">
        <v>115.3</v>
      </c>
      <c r="B93">
        <v>127.46</v>
      </c>
      <c r="C93">
        <v>139.27000000000001</v>
      </c>
      <c r="D93">
        <v>117.2</v>
      </c>
      <c r="E93">
        <v>122.8</v>
      </c>
    </row>
    <row r="94" spans="1:5" x14ac:dyDescent="0.25">
      <c r="A94">
        <v>124.92</v>
      </c>
      <c r="B94">
        <v>127.46</v>
      </c>
      <c r="C94">
        <v>115.61</v>
      </c>
      <c r="D94">
        <v>126.71</v>
      </c>
      <c r="E94">
        <v>122.8</v>
      </c>
    </row>
    <row r="95" spans="1:5" x14ac:dyDescent="0.25">
      <c r="A95">
        <v>124.92</v>
      </c>
      <c r="B95">
        <v>112.12</v>
      </c>
      <c r="C95">
        <v>115.61</v>
      </c>
      <c r="D95">
        <v>126.71</v>
      </c>
      <c r="E95">
        <v>135.26</v>
      </c>
    </row>
    <row r="96" spans="1:5" x14ac:dyDescent="0.25">
      <c r="A96">
        <v>118.26</v>
      </c>
      <c r="B96">
        <v>112.12</v>
      </c>
      <c r="C96">
        <v>123.38</v>
      </c>
      <c r="D96">
        <v>119.11</v>
      </c>
      <c r="E96">
        <v>135.26</v>
      </c>
    </row>
    <row r="97" spans="1:5" x14ac:dyDescent="0.25">
      <c r="A97">
        <v>118.26</v>
      </c>
      <c r="B97">
        <v>115.6</v>
      </c>
      <c r="C97">
        <v>123.38</v>
      </c>
      <c r="D97">
        <v>119.11</v>
      </c>
      <c r="E97">
        <v>126.3</v>
      </c>
    </row>
    <row r="98" spans="1:5" x14ac:dyDescent="0.25">
      <c r="A98">
        <v>114.95</v>
      </c>
      <c r="B98">
        <v>115.6</v>
      </c>
      <c r="C98">
        <v>112.5</v>
      </c>
      <c r="D98">
        <v>118.72</v>
      </c>
      <c r="E98">
        <v>126.3</v>
      </c>
    </row>
    <row r="99" spans="1:5" x14ac:dyDescent="0.25">
      <c r="A99">
        <v>114.95</v>
      </c>
      <c r="B99">
        <v>116.36</v>
      </c>
      <c r="C99">
        <v>112.5</v>
      </c>
      <c r="D99">
        <v>118.72</v>
      </c>
      <c r="E99">
        <v>125.13</v>
      </c>
    </row>
    <row r="100" spans="1:5" x14ac:dyDescent="0.25">
      <c r="A100">
        <v>115.52</v>
      </c>
      <c r="B100">
        <v>116.36</v>
      </c>
      <c r="C100">
        <v>120.17</v>
      </c>
      <c r="D100">
        <v>117.31</v>
      </c>
      <c r="E100">
        <v>125.13</v>
      </c>
    </row>
    <row r="101" spans="1:5" x14ac:dyDescent="0.25">
      <c r="A101">
        <v>115.52</v>
      </c>
      <c r="B101">
        <v>115.44</v>
      </c>
      <c r="C101">
        <v>120.17</v>
      </c>
      <c r="D101">
        <v>117.31</v>
      </c>
      <c r="E101">
        <v>123.31</v>
      </c>
    </row>
    <row r="102" spans="1:5" x14ac:dyDescent="0.25">
      <c r="A102">
        <v>115.8</v>
      </c>
      <c r="B102">
        <v>115.44</v>
      </c>
      <c r="C102">
        <v>138.47999999999999</v>
      </c>
      <c r="D102">
        <v>119.57</v>
      </c>
      <c r="E102">
        <v>123.31</v>
      </c>
    </row>
    <row r="103" spans="1:5" x14ac:dyDescent="0.25">
      <c r="A103">
        <v>115.8</v>
      </c>
      <c r="B103">
        <v>136.38999999999999</v>
      </c>
      <c r="C103">
        <v>138.47999999999999</v>
      </c>
      <c r="D103">
        <v>119.57</v>
      </c>
      <c r="E103">
        <v>119.06</v>
      </c>
    </row>
    <row r="104" spans="1:5" x14ac:dyDescent="0.25">
      <c r="A104">
        <v>139.68</v>
      </c>
      <c r="B104">
        <v>136.38999999999999</v>
      </c>
      <c r="C104">
        <v>114.09</v>
      </c>
      <c r="D104">
        <v>136.85</v>
      </c>
      <c r="E104">
        <v>119.06</v>
      </c>
    </row>
    <row r="105" spans="1:5" x14ac:dyDescent="0.25">
      <c r="A105">
        <v>139.68</v>
      </c>
      <c r="B105">
        <v>110.99</v>
      </c>
      <c r="C105">
        <v>114.09</v>
      </c>
      <c r="D105">
        <v>136.85</v>
      </c>
      <c r="E105">
        <v>136.55000000000001</v>
      </c>
    </row>
    <row r="106" spans="1:5" x14ac:dyDescent="0.25">
      <c r="A106">
        <v>110.26</v>
      </c>
      <c r="B106">
        <v>110.99</v>
      </c>
      <c r="C106">
        <v>113.74</v>
      </c>
      <c r="D106">
        <v>115.68</v>
      </c>
      <c r="E106">
        <v>136.55000000000001</v>
      </c>
    </row>
    <row r="107" spans="1:5" x14ac:dyDescent="0.25">
      <c r="A107">
        <v>110.26</v>
      </c>
      <c r="B107">
        <v>111.54</v>
      </c>
      <c r="C107">
        <v>113.74</v>
      </c>
      <c r="D107">
        <v>115.68</v>
      </c>
      <c r="E107">
        <v>121.04</v>
      </c>
    </row>
    <row r="108" spans="1:5" x14ac:dyDescent="0.25">
      <c r="A108">
        <v>115.82</v>
      </c>
      <c r="B108">
        <v>111.54</v>
      </c>
      <c r="C108">
        <v>120.78</v>
      </c>
      <c r="D108">
        <v>120.47</v>
      </c>
      <c r="E108">
        <v>121.04</v>
      </c>
    </row>
    <row r="109" spans="1:5" x14ac:dyDescent="0.25">
      <c r="A109">
        <v>115.82</v>
      </c>
      <c r="B109">
        <v>122.89</v>
      </c>
      <c r="C109">
        <v>120.78</v>
      </c>
      <c r="D109">
        <v>120.47</v>
      </c>
      <c r="E109">
        <v>123.36</v>
      </c>
    </row>
    <row r="110" spans="1:5" x14ac:dyDescent="0.25">
      <c r="A110">
        <v>115.87</v>
      </c>
      <c r="B110">
        <v>122.89</v>
      </c>
      <c r="C110">
        <v>113.19</v>
      </c>
      <c r="D110">
        <v>117.28</v>
      </c>
      <c r="E110">
        <v>123.36</v>
      </c>
    </row>
    <row r="111" spans="1:5" x14ac:dyDescent="0.25">
      <c r="A111">
        <v>115.87</v>
      </c>
      <c r="B111">
        <v>113.41</v>
      </c>
      <c r="C111">
        <v>113.19</v>
      </c>
      <c r="D111">
        <v>117.28</v>
      </c>
      <c r="E111">
        <v>125.56</v>
      </c>
    </row>
    <row r="112" spans="1:5" x14ac:dyDescent="0.25">
      <c r="A112">
        <v>110.51</v>
      </c>
      <c r="B112">
        <v>113.41</v>
      </c>
      <c r="C112">
        <v>128.26</v>
      </c>
      <c r="D112">
        <v>116.9</v>
      </c>
      <c r="E112">
        <v>125.56</v>
      </c>
    </row>
    <row r="113" spans="1:5" x14ac:dyDescent="0.25">
      <c r="A113">
        <v>110.51</v>
      </c>
      <c r="B113">
        <v>137.66</v>
      </c>
      <c r="C113">
        <v>128.26</v>
      </c>
      <c r="D113">
        <v>116.9</v>
      </c>
      <c r="E113">
        <v>129.21</v>
      </c>
    </row>
    <row r="114" spans="1:5" x14ac:dyDescent="0.25">
      <c r="A114">
        <v>136.85</v>
      </c>
      <c r="B114">
        <v>137.66</v>
      </c>
      <c r="C114">
        <v>116.29</v>
      </c>
      <c r="D114">
        <v>136.97</v>
      </c>
      <c r="E114">
        <v>129.21</v>
      </c>
    </row>
    <row r="115" spans="1:5" x14ac:dyDescent="0.25">
      <c r="A115">
        <v>136.85</v>
      </c>
      <c r="B115">
        <v>113.68</v>
      </c>
      <c r="C115">
        <v>116.29</v>
      </c>
      <c r="D115">
        <v>136.97</v>
      </c>
      <c r="E115">
        <v>144.94999999999999</v>
      </c>
    </row>
    <row r="116" spans="1:5" x14ac:dyDescent="0.25">
      <c r="A116">
        <v>115.99</v>
      </c>
      <c r="B116">
        <v>113.68</v>
      </c>
      <c r="C116">
        <v>116.68</v>
      </c>
      <c r="D116">
        <v>119.56</v>
      </c>
      <c r="E116">
        <v>144.94999999999999</v>
      </c>
    </row>
    <row r="117" spans="1:5" x14ac:dyDescent="0.25">
      <c r="A117">
        <v>115.99</v>
      </c>
      <c r="B117">
        <v>115.79</v>
      </c>
      <c r="C117">
        <v>116.68</v>
      </c>
      <c r="D117">
        <v>119.56</v>
      </c>
      <c r="E117">
        <v>119.38</v>
      </c>
    </row>
    <row r="118" spans="1:5" x14ac:dyDescent="0.25">
      <c r="A118">
        <v>110.44</v>
      </c>
      <c r="B118">
        <v>115.79</v>
      </c>
      <c r="C118">
        <v>112.11</v>
      </c>
      <c r="D118">
        <v>114.34</v>
      </c>
      <c r="E118">
        <v>119.38</v>
      </c>
    </row>
    <row r="119" spans="1:5" x14ac:dyDescent="0.25">
      <c r="A119">
        <v>110.44</v>
      </c>
      <c r="B119">
        <v>111.24</v>
      </c>
      <c r="C119">
        <v>112.11</v>
      </c>
      <c r="D119">
        <v>114.34</v>
      </c>
      <c r="E119">
        <v>129.16</v>
      </c>
    </row>
    <row r="120" spans="1:5" x14ac:dyDescent="0.25">
      <c r="A120">
        <v>123.92</v>
      </c>
      <c r="B120">
        <v>111.24</v>
      </c>
      <c r="C120">
        <v>118.57</v>
      </c>
      <c r="D120">
        <v>115.16</v>
      </c>
      <c r="E120">
        <v>129.16</v>
      </c>
    </row>
    <row r="121" spans="1:5" x14ac:dyDescent="0.25">
      <c r="A121">
        <v>123.92</v>
      </c>
      <c r="B121">
        <v>124.5</v>
      </c>
      <c r="C121">
        <v>118.57</v>
      </c>
      <c r="D121">
        <v>115.16</v>
      </c>
      <c r="E121">
        <v>120.75</v>
      </c>
    </row>
    <row r="122" spans="1:5" x14ac:dyDescent="0.25">
      <c r="A122">
        <v>113.89</v>
      </c>
      <c r="B122">
        <v>124.5</v>
      </c>
      <c r="D122">
        <v>118.35</v>
      </c>
      <c r="E122">
        <v>120.75</v>
      </c>
    </row>
    <row r="123" spans="1:5" x14ac:dyDescent="0.25">
      <c r="A123">
        <v>113.89</v>
      </c>
      <c r="B123">
        <v>138.83000000000001</v>
      </c>
      <c r="D123">
        <v>118.35</v>
      </c>
      <c r="E123">
        <v>118.76</v>
      </c>
    </row>
    <row r="124" spans="1:5" x14ac:dyDescent="0.25">
      <c r="B124">
        <v>138.83000000000001</v>
      </c>
      <c r="D124">
        <v>135.07</v>
      </c>
      <c r="E124">
        <v>118.76</v>
      </c>
    </row>
    <row r="125" spans="1:5" x14ac:dyDescent="0.25">
      <c r="E125">
        <v>146.4</v>
      </c>
    </row>
    <row r="126" spans="1:5" x14ac:dyDescent="0.25">
      <c r="E126">
        <v>146.4</v>
      </c>
    </row>
    <row r="127" spans="1:5" x14ac:dyDescent="0.25">
      <c r="E127">
        <v>120.9</v>
      </c>
    </row>
    <row r="128" spans="1:5" x14ac:dyDescent="0.25">
      <c r="E128">
        <v>120.9</v>
      </c>
    </row>
    <row r="129" spans="5:5" x14ac:dyDescent="0.25">
      <c r="E129">
        <v>119.31</v>
      </c>
    </row>
    <row r="130" spans="5:5" x14ac:dyDescent="0.25">
      <c r="E130">
        <v>119.31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ACFD-8AF5-7A40-8EFA-369550C3BA23}">
  <dimension ref="A1:J121"/>
  <sheetViews>
    <sheetView workbookViewId="0">
      <selection activeCell="G5" sqref="G5"/>
    </sheetView>
  </sheetViews>
  <sheetFormatPr baseColWidth="10" defaultRowHeight="15.75" x14ac:dyDescent="0.25"/>
  <cols>
    <col min="7" max="7" width="11.5" customWidth="1"/>
    <col min="9" max="9" width="14.125" bestFit="1" customWidth="1"/>
    <col min="10" max="10" width="15.5" customWidth="1"/>
  </cols>
  <sheetData>
    <row r="1" spans="1:10" x14ac:dyDescent="0.25">
      <c r="A1" t="s">
        <v>13</v>
      </c>
      <c r="B1" t="s">
        <v>12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29</v>
      </c>
      <c r="J1" t="s">
        <v>28</v>
      </c>
    </row>
    <row r="2" spans="1:10" x14ac:dyDescent="0.25">
      <c r="A2">
        <v>130.46</v>
      </c>
      <c r="B2">
        <v>140.12</v>
      </c>
      <c r="C2">
        <v>145.86000000000001</v>
      </c>
      <c r="D2">
        <v>190.83</v>
      </c>
      <c r="F2" t="s">
        <v>1</v>
      </c>
      <c r="G2">
        <f>AVERAGE(A:A)</f>
        <v>134.77424999999991</v>
      </c>
      <c r="H2">
        <f>AVERAGE(31,32)</f>
        <v>31.5</v>
      </c>
      <c r="I2">
        <f t="shared" ref="I2:I5" si="0">G2-H2</f>
        <v>103.27424999999991</v>
      </c>
      <c r="J2">
        <f>13+I2</f>
        <v>116.27424999999991</v>
      </c>
    </row>
    <row r="3" spans="1:10" x14ac:dyDescent="0.25">
      <c r="A3">
        <v>138.72</v>
      </c>
      <c r="B3">
        <v>140.12</v>
      </c>
      <c r="C3">
        <v>145.86000000000001</v>
      </c>
      <c r="D3">
        <v>212.59</v>
      </c>
      <c r="F3" t="s">
        <v>3</v>
      </c>
      <c r="G3">
        <f>AVERAGE(B:B)</f>
        <v>139.0258333333334</v>
      </c>
      <c r="H3">
        <f>AVERAGE(36,37)</f>
        <v>36.5</v>
      </c>
      <c r="I3">
        <f t="shared" si="0"/>
        <v>102.5258333333334</v>
      </c>
      <c r="J3">
        <f t="shared" ref="J3:J4" si="1">13+I3</f>
        <v>115.5258333333334</v>
      </c>
    </row>
    <row r="4" spans="1:10" x14ac:dyDescent="0.25">
      <c r="A4">
        <v>138.72</v>
      </c>
      <c r="B4">
        <v>138.93</v>
      </c>
      <c r="C4">
        <v>145.62</v>
      </c>
      <c r="D4">
        <v>212.59</v>
      </c>
      <c r="F4" t="s">
        <v>2</v>
      </c>
      <c r="G4">
        <f>AVERAGE(C:C)</f>
        <v>151.02783333333326</v>
      </c>
      <c r="H4">
        <f>AVERAGE(45,47)</f>
        <v>46</v>
      </c>
      <c r="I4">
        <f t="shared" si="0"/>
        <v>105.02783333333326</v>
      </c>
      <c r="J4">
        <f t="shared" si="1"/>
        <v>118.02783333333326</v>
      </c>
    </row>
    <row r="5" spans="1:10" x14ac:dyDescent="0.25">
      <c r="A5">
        <v>131.4</v>
      </c>
      <c r="B5">
        <v>138.93</v>
      </c>
      <c r="C5">
        <v>145.62</v>
      </c>
      <c r="D5">
        <v>186.04</v>
      </c>
      <c r="F5" t="s">
        <v>4</v>
      </c>
      <c r="G5">
        <f>AVERAGE(D:D)</f>
        <v>192.93649999999985</v>
      </c>
      <c r="H5">
        <f>AVERAGE(87,91)</f>
        <v>89</v>
      </c>
      <c r="I5">
        <f t="shared" si="0"/>
        <v>103.93649999999985</v>
      </c>
      <c r="J5">
        <f>13+I5</f>
        <v>116.93649999999985</v>
      </c>
    </row>
    <row r="6" spans="1:10" x14ac:dyDescent="0.25">
      <c r="A6">
        <v>131.4</v>
      </c>
      <c r="B6">
        <v>144.27000000000001</v>
      </c>
      <c r="C6">
        <v>145.52000000000001</v>
      </c>
      <c r="D6">
        <v>186.04</v>
      </c>
      <c r="F6" t="s">
        <v>5</v>
      </c>
      <c r="G6" t="s">
        <v>19</v>
      </c>
      <c r="H6" t="s">
        <v>19</v>
      </c>
      <c r="I6" t="s">
        <v>19</v>
      </c>
      <c r="J6" t="s">
        <v>19</v>
      </c>
    </row>
    <row r="7" spans="1:10" x14ac:dyDescent="0.25">
      <c r="A7">
        <v>130.53</v>
      </c>
      <c r="B7">
        <v>144.27000000000001</v>
      </c>
      <c r="C7">
        <v>145.52000000000001</v>
      </c>
      <c r="D7">
        <v>187.03</v>
      </c>
    </row>
    <row r="8" spans="1:10" x14ac:dyDescent="0.25">
      <c r="A8">
        <v>130.53</v>
      </c>
      <c r="B8">
        <v>136.35</v>
      </c>
      <c r="C8">
        <v>144.63</v>
      </c>
      <c r="D8">
        <v>187.03</v>
      </c>
    </row>
    <row r="9" spans="1:10" x14ac:dyDescent="0.25">
      <c r="A9">
        <v>144.03</v>
      </c>
      <c r="B9">
        <v>136.35</v>
      </c>
      <c r="C9">
        <v>144.63</v>
      </c>
      <c r="D9">
        <v>194.83</v>
      </c>
    </row>
    <row r="10" spans="1:10" x14ac:dyDescent="0.25">
      <c r="A10">
        <v>144.03</v>
      </c>
      <c r="B10">
        <v>135.49</v>
      </c>
      <c r="C10">
        <v>176.28</v>
      </c>
      <c r="D10">
        <v>194.83</v>
      </c>
    </row>
    <row r="11" spans="1:10" x14ac:dyDescent="0.25">
      <c r="A11">
        <v>129.71</v>
      </c>
      <c r="B11">
        <v>135.49</v>
      </c>
      <c r="C11">
        <v>176.28</v>
      </c>
      <c r="D11">
        <v>187.48</v>
      </c>
    </row>
    <row r="12" spans="1:10" x14ac:dyDescent="0.25">
      <c r="A12">
        <v>129.71</v>
      </c>
      <c r="B12">
        <v>140.27000000000001</v>
      </c>
      <c r="C12">
        <v>142.69999999999999</v>
      </c>
      <c r="D12">
        <v>187.48</v>
      </c>
    </row>
    <row r="13" spans="1:10" x14ac:dyDescent="0.25">
      <c r="A13">
        <v>129.84</v>
      </c>
      <c r="B13">
        <v>140.27000000000001</v>
      </c>
      <c r="C13">
        <v>142.69999999999999</v>
      </c>
      <c r="D13">
        <v>211.67</v>
      </c>
    </row>
    <row r="14" spans="1:10" x14ac:dyDescent="0.25">
      <c r="A14">
        <v>129.84</v>
      </c>
      <c r="B14">
        <v>147.12</v>
      </c>
      <c r="C14">
        <v>144.27000000000001</v>
      </c>
      <c r="D14">
        <v>211.67</v>
      </c>
    </row>
    <row r="15" spans="1:10" x14ac:dyDescent="0.25">
      <c r="A15">
        <v>140.59</v>
      </c>
      <c r="B15">
        <v>147.12</v>
      </c>
      <c r="C15">
        <v>144.27000000000001</v>
      </c>
      <c r="D15">
        <v>186.07</v>
      </c>
    </row>
    <row r="16" spans="1:10" x14ac:dyDescent="0.25">
      <c r="A16">
        <v>140.59</v>
      </c>
      <c r="B16">
        <v>135.80000000000001</v>
      </c>
      <c r="C16">
        <v>153.38</v>
      </c>
      <c r="D16">
        <v>186.07</v>
      </c>
    </row>
    <row r="17" spans="1:4" x14ac:dyDescent="0.25">
      <c r="A17">
        <v>134.69999999999999</v>
      </c>
      <c r="B17">
        <v>135.80000000000001</v>
      </c>
      <c r="C17">
        <v>153.38</v>
      </c>
      <c r="D17">
        <v>184.28</v>
      </c>
    </row>
    <row r="18" spans="1:4" x14ac:dyDescent="0.25">
      <c r="A18">
        <v>134.69999999999999</v>
      </c>
      <c r="B18">
        <v>143.02000000000001</v>
      </c>
      <c r="C18">
        <v>144.13999999999999</v>
      </c>
      <c r="D18">
        <v>184.28</v>
      </c>
    </row>
    <row r="19" spans="1:4" x14ac:dyDescent="0.25">
      <c r="A19">
        <v>135.22</v>
      </c>
      <c r="B19">
        <v>143.02000000000001</v>
      </c>
      <c r="C19">
        <v>144.13999999999999</v>
      </c>
      <c r="D19">
        <v>187.1</v>
      </c>
    </row>
    <row r="20" spans="1:4" x14ac:dyDescent="0.25">
      <c r="A20">
        <v>135.22</v>
      </c>
      <c r="B20">
        <v>139.41999999999999</v>
      </c>
      <c r="C20">
        <v>169.77</v>
      </c>
      <c r="D20">
        <v>187.1</v>
      </c>
    </row>
    <row r="21" spans="1:4" x14ac:dyDescent="0.25">
      <c r="A21">
        <v>132.35</v>
      </c>
      <c r="B21">
        <v>139.41999999999999</v>
      </c>
      <c r="C21">
        <v>169.77</v>
      </c>
      <c r="D21">
        <v>194.01</v>
      </c>
    </row>
    <row r="22" spans="1:4" x14ac:dyDescent="0.25">
      <c r="A22">
        <v>132.35</v>
      </c>
      <c r="B22">
        <v>134.59</v>
      </c>
      <c r="C22">
        <v>153.76</v>
      </c>
      <c r="D22">
        <v>194.01</v>
      </c>
    </row>
    <row r="23" spans="1:4" x14ac:dyDescent="0.25">
      <c r="A23">
        <v>130.04</v>
      </c>
      <c r="B23">
        <v>134.59</v>
      </c>
      <c r="C23">
        <v>153.76</v>
      </c>
      <c r="D23">
        <v>205.85</v>
      </c>
    </row>
    <row r="24" spans="1:4" x14ac:dyDescent="0.25">
      <c r="A24">
        <v>130.04</v>
      </c>
      <c r="B24">
        <v>144.29</v>
      </c>
      <c r="C24">
        <v>145.38999999999999</v>
      </c>
      <c r="D24">
        <v>205.85</v>
      </c>
    </row>
    <row r="25" spans="1:4" x14ac:dyDescent="0.25">
      <c r="A25">
        <v>130.13</v>
      </c>
      <c r="B25">
        <v>144.29</v>
      </c>
      <c r="C25">
        <v>145.38999999999999</v>
      </c>
      <c r="D25">
        <v>187.6</v>
      </c>
    </row>
    <row r="26" spans="1:4" x14ac:dyDescent="0.25">
      <c r="A26">
        <v>130.13</v>
      </c>
      <c r="B26">
        <v>137.13999999999999</v>
      </c>
      <c r="C26">
        <v>144.68</v>
      </c>
      <c r="D26">
        <v>187.6</v>
      </c>
    </row>
    <row r="27" spans="1:4" x14ac:dyDescent="0.25">
      <c r="A27">
        <v>135.54</v>
      </c>
      <c r="B27">
        <v>137.13999999999999</v>
      </c>
      <c r="C27">
        <v>144.68</v>
      </c>
      <c r="D27">
        <v>193.03</v>
      </c>
    </row>
    <row r="28" spans="1:4" x14ac:dyDescent="0.25">
      <c r="A28">
        <v>135.54</v>
      </c>
      <c r="B28">
        <v>136.83000000000001</v>
      </c>
      <c r="C28">
        <v>150.18</v>
      </c>
      <c r="D28">
        <v>193.03</v>
      </c>
    </row>
    <row r="29" spans="1:4" x14ac:dyDescent="0.25">
      <c r="A29">
        <v>143.22</v>
      </c>
      <c r="B29">
        <v>136.83000000000001</v>
      </c>
      <c r="C29">
        <v>150.18</v>
      </c>
      <c r="D29">
        <v>185.53</v>
      </c>
    </row>
    <row r="30" spans="1:4" x14ac:dyDescent="0.25">
      <c r="A30">
        <v>143.22</v>
      </c>
      <c r="B30">
        <v>139.4</v>
      </c>
      <c r="C30">
        <v>170.2</v>
      </c>
      <c r="D30">
        <v>185.53</v>
      </c>
    </row>
    <row r="31" spans="1:4" x14ac:dyDescent="0.25">
      <c r="A31">
        <v>129.51</v>
      </c>
      <c r="B31">
        <v>139.4</v>
      </c>
      <c r="C31">
        <v>170.2</v>
      </c>
      <c r="D31">
        <v>189.58</v>
      </c>
    </row>
    <row r="32" spans="1:4" x14ac:dyDescent="0.25">
      <c r="A32">
        <v>129.51</v>
      </c>
      <c r="B32">
        <v>137.86000000000001</v>
      </c>
      <c r="C32">
        <v>144.38</v>
      </c>
      <c r="D32">
        <v>189.58</v>
      </c>
    </row>
    <row r="33" spans="1:4" x14ac:dyDescent="0.25">
      <c r="A33">
        <v>132.84</v>
      </c>
      <c r="B33">
        <v>137.86000000000001</v>
      </c>
      <c r="C33">
        <v>144.38</v>
      </c>
      <c r="D33">
        <v>207.19</v>
      </c>
    </row>
    <row r="34" spans="1:4" x14ac:dyDescent="0.25">
      <c r="A34">
        <v>132.84</v>
      </c>
      <c r="B34">
        <v>135.72</v>
      </c>
      <c r="C34">
        <v>150.80000000000001</v>
      </c>
      <c r="D34">
        <v>207.19</v>
      </c>
    </row>
    <row r="35" spans="1:4" x14ac:dyDescent="0.25">
      <c r="A35">
        <v>136.24</v>
      </c>
      <c r="B35">
        <v>135.72</v>
      </c>
      <c r="C35">
        <v>150.80000000000001</v>
      </c>
      <c r="D35">
        <v>186.55</v>
      </c>
    </row>
    <row r="36" spans="1:4" x14ac:dyDescent="0.25">
      <c r="A36">
        <v>136.24</v>
      </c>
      <c r="B36">
        <v>143.29</v>
      </c>
      <c r="C36">
        <v>146.12</v>
      </c>
      <c r="D36">
        <v>186.55</v>
      </c>
    </row>
    <row r="37" spans="1:4" x14ac:dyDescent="0.25">
      <c r="A37">
        <v>129.78</v>
      </c>
      <c r="B37">
        <v>143.29</v>
      </c>
      <c r="C37">
        <v>146.12</v>
      </c>
      <c r="D37">
        <v>186.61</v>
      </c>
    </row>
    <row r="38" spans="1:4" x14ac:dyDescent="0.25">
      <c r="A38">
        <v>129.78</v>
      </c>
      <c r="B38">
        <v>144.41</v>
      </c>
      <c r="C38">
        <v>145.66999999999999</v>
      </c>
      <c r="D38">
        <v>186.61</v>
      </c>
    </row>
    <row r="39" spans="1:4" x14ac:dyDescent="0.25">
      <c r="A39">
        <v>135.85</v>
      </c>
      <c r="B39">
        <v>144.41</v>
      </c>
      <c r="C39">
        <v>145.66999999999999</v>
      </c>
      <c r="D39">
        <v>193.19</v>
      </c>
    </row>
    <row r="40" spans="1:4" x14ac:dyDescent="0.25">
      <c r="A40">
        <v>135.85</v>
      </c>
      <c r="B40">
        <v>135.71</v>
      </c>
      <c r="C40">
        <v>148.41</v>
      </c>
      <c r="D40">
        <v>193.19</v>
      </c>
    </row>
    <row r="41" spans="1:4" x14ac:dyDescent="0.25">
      <c r="A41">
        <v>134.4</v>
      </c>
      <c r="B41">
        <v>135.71</v>
      </c>
      <c r="C41">
        <v>148.41</v>
      </c>
      <c r="D41">
        <v>190.7</v>
      </c>
    </row>
    <row r="42" spans="1:4" x14ac:dyDescent="0.25">
      <c r="A42">
        <v>134.4</v>
      </c>
      <c r="B42">
        <v>136.33000000000001</v>
      </c>
      <c r="C42">
        <v>150.04</v>
      </c>
      <c r="D42">
        <v>190.7</v>
      </c>
    </row>
    <row r="43" spans="1:4" x14ac:dyDescent="0.25">
      <c r="A43">
        <v>129.85</v>
      </c>
      <c r="B43">
        <v>136.33000000000001</v>
      </c>
      <c r="C43">
        <v>150.04</v>
      </c>
      <c r="D43">
        <v>198.67</v>
      </c>
    </row>
    <row r="44" spans="1:4" x14ac:dyDescent="0.25">
      <c r="A44">
        <v>129.85</v>
      </c>
      <c r="B44">
        <v>137.49</v>
      </c>
      <c r="C44">
        <v>144.65</v>
      </c>
      <c r="D44">
        <v>198.67</v>
      </c>
    </row>
    <row r="45" spans="1:4" x14ac:dyDescent="0.25">
      <c r="A45">
        <v>130.87</v>
      </c>
      <c r="B45">
        <v>137.49</v>
      </c>
      <c r="C45">
        <v>144.65</v>
      </c>
      <c r="D45">
        <v>192.09</v>
      </c>
    </row>
    <row r="46" spans="1:4" x14ac:dyDescent="0.25">
      <c r="A46">
        <v>130.87</v>
      </c>
      <c r="B46">
        <v>135.91999999999999</v>
      </c>
      <c r="C46">
        <v>150.22999999999999</v>
      </c>
      <c r="D46">
        <v>192.09</v>
      </c>
    </row>
    <row r="47" spans="1:4" x14ac:dyDescent="0.25">
      <c r="A47">
        <v>136.22999999999999</v>
      </c>
      <c r="B47">
        <v>135.91999999999999</v>
      </c>
      <c r="C47">
        <v>150.22999999999999</v>
      </c>
      <c r="D47">
        <v>187.68</v>
      </c>
    </row>
    <row r="48" spans="1:4" x14ac:dyDescent="0.25">
      <c r="A48">
        <v>136.22999999999999</v>
      </c>
      <c r="B48">
        <v>140.07</v>
      </c>
      <c r="C48">
        <v>145.04</v>
      </c>
      <c r="D48">
        <v>187.68</v>
      </c>
    </row>
    <row r="49" spans="1:4" x14ac:dyDescent="0.25">
      <c r="A49">
        <v>150.87</v>
      </c>
      <c r="B49">
        <v>140.07</v>
      </c>
      <c r="C49">
        <v>145.04</v>
      </c>
      <c r="D49">
        <v>186.48</v>
      </c>
    </row>
    <row r="50" spans="1:4" x14ac:dyDescent="0.25">
      <c r="A50">
        <v>150.87</v>
      </c>
      <c r="B50">
        <v>145.83000000000001</v>
      </c>
      <c r="C50">
        <v>161.9</v>
      </c>
      <c r="D50">
        <v>186.48</v>
      </c>
    </row>
    <row r="51" spans="1:4" x14ac:dyDescent="0.25">
      <c r="A51">
        <v>133.84</v>
      </c>
      <c r="B51">
        <v>145.83000000000001</v>
      </c>
      <c r="C51">
        <v>161.9</v>
      </c>
      <c r="D51">
        <v>191.21</v>
      </c>
    </row>
    <row r="52" spans="1:4" x14ac:dyDescent="0.25">
      <c r="A52">
        <v>133.84</v>
      </c>
      <c r="B52">
        <v>136.87</v>
      </c>
      <c r="C52">
        <v>146.26</v>
      </c>
      <c r="D52">
        <v>191.21</v>
      </c>
    </row>
    <row r="53" spans="1:4" x14ac:dyDescent="0.25">
      <c r="A53">
        <v>136.97999999999999</v>
      </c>
      <c r="B53">
        <v>136.87</v>
      </c>
      <c r="C53">
        <v>146.26</v>
      </c>
      <c r="D53">
        <v>196.18</v>
      </c>
    </row>
    <row r="54" spans="1:4" x14ac:dyDescent="0.25">
      <c r="A54">
        <v>136.97999999999999</v>
      </c>
      <c r="B54">
        <v>137</v>
      </c>
      <c r="C54">
        <v>149.22</v>
      </c>
      <c r="D54">
        <v>196.18</v>
      </c>
    </row>
    <row r="55" spans="1:4" x14ac:dyDescent="0.25">
      <c r="A55">
        <v>130.41</v>
      </c>
      <c r="B55">
        <v>137</v>
      </c>
      <c r="C55">
        <v>149.22</v>
      </c>
      <c r="D55">
        <v>187.01</v>
      </c>
    </row>
    <row r="56" spans="1:4" x14ac:dyDescent="0.25">
      <c r="A56">
        <v>130.41</v>
      </c>
      <c r="B56">
        <v>143.84</v>
      </c>
      <c r="C56">
        <v>145.94</v>
      </c>
      <c r="D56">
        <v>187.01</v>
      </c>
    </row>
    <row r="57" spans="1:4" x14ac:dyDescent="0.25">
      <c r="A57">
        <v>129.30000000000001</v>
      </c>
      <c r="B57">
        <v>143.84</v>
      </c>
      <c r="C57">
        <v>145.94</v>
      </c>
      <c r="D57">
        <v>201.4</v>
      </c>
    </row>
    <row r="58" spans="1:4" x14ac:dyDescent="0.25">
      <c r="A58">
        <v>129.30000000000001</v>
      </c>
      <c r="B58">
        <v>135.72</v>
      </c>
      <c r="C58">
        <v>149.59</v>
      </c>
      <c r="D58">
        <v>201.4</v>
      </c>
    </row>
    <row r="59" spans="1:4" x14ac:dyDescent="0.25">
      <c r="A59">
        <v>133.71</v>
      </c>
      <c r="B59">
        <v>135.72</v>
      </c>
      <c r="C59">
        <v>149.59</v>
      </c>
      <c r="D59">
        <v>189.75</v>
      </c>
    </row>
    <row r="60" spans="1:4" x14ac:dyDescent="0.25">
      <c r="A60">
        <v>133.71</v>
      </c>
      <c r="B60">
        <v>136.53</v>
      </c>
      <c r="C60">
        <v>171.39</v>
      </c>
      <c r="D60">
        <v>189.75</v>
      </c>
    </row>
    <row r="61" spans="1:4" x14ac:dyDescent="0.25">
      <c r="A61">
        <v>129.99</v>
      </c>
      <c r="B61">
        <v>136.53</v>
      </c>
      <c r="C61">
        <v>171.39</v>
      </c>
      <c r="D61">
        <v>186.89</v>
      </c>
    </row>
    <row r="62" spans="1:4" x14ac:dyDescent="0.25">
      <c r="A62">
        <v>129.99</v>
      </c>
      <c r="B62">
        <v>140.56</v>
      </c>
      <c r="C62">
        <v>144.44</v>
      </c>
      <c r="D62">
        <v>186.89</v>
      </c>
    </row>
    <row r="63" spans="1:4" x14ac:dyDescent="0.25">
      <c r="A63">
        <v>133.5</v>
      </c>
      <c r="B63">
        <v>140.56</v>
      </c>
      <c r="C63">
        <v>144.44</v>
      </c>
      <c r="D63">
        <v>216.6</v>
      </c>
    </row>
    <row r="64" spans="1:4" x14ac:dyDescent="0.25">
      <c r="A64">
        <v>133.5</v>
      </c>
      <c r="B64">
        <v>137.47</v>
      </c>
      <c r="C64">
        <v>144.88999999999999</v>
      </c>
      <c r="D64">
        <v>216.6</v>
      </c>
    </row>
    <row r="65" spans="1:4" x14ac:dyDescent="0.25">
      <c r="A65">
        <v>139.66</v>
      </c>
      <c r="B65">
        <v>137.47</v>
      </c>
      <c r="C65">
        <v>144.88999999999999</v>
      </c>
      <c r="D65">
        <v>188.31</v>
      </c>
    </row>
    <row r="66" spans="1:4" x14ac:dyDescent="0.25">
      <c r="A66">
        <v>139.66</v>
      </c>
      <c r="B66">
        <v>136.1</v>
      </c>
      <c r="C66">
        <v>148.24</v>
      </c>
      <c r="D66">
        <v>188.31</v>
      </c>
    </row>
    <row r="67" spans="1:4" x14ac:dyDescent="0.25">
      <c r="A67">
        <v>131.72</v>
      </c>
      <c r="B67">
        <v>136.1</v>
      </c>
      <c r="C67">
        <v>148.24</v>
      </c>
      <c r="D67">
        <v>187.88</v>
      </c>
    </row>
    <row r="68" spans="1:4" x14ac:dyDescent="0.25">
      <c r="A68">
        <v>131.72</v>
      </c>
      <c r="B68">
        <v>145.30000000000001</v>
      </c>
      <c r="C68">
        <v>144.31</v>
      </c>
      <c r="D68">
        <v>187.88</v>
      </c>
    </row>
    <row r="69" spans="1:4" x14ac:dyDescent="0.25">
      <c r="A69">
        <v>144.01</v>
      </c>
      <c r="B69">
        <v>145.30000000000001</v>
      </c>
      <c r="C69">
        <v>144.31</v>
      </c>
      <c r="D69">
        <v>191.98</v>
      </c>
    </row>
    <row r="70" spans="1:4" x14ac:dyDescent="0.25">
      <c r="A70">
        <v>144.01</v>
      </c>
      <c r="B70">
        <v>135.44999999999999</v>
      </c>
      <c r="C70">
        <v>167.35</v>
      </c>
      <c r="D70">
        <v>191.98</v>
      </c>
    </row>
    <row r="71" spans="1:4" x14ac:dyDescent="0.25">
      <c r="A71">
        <v>140.16999999999999</v>
      </c>
      <c r="B71">
        <v>135.44999999999999</v>
      </c>
      <c r="C71">
        <v>167.35</v>
      </c>
      <c r="D71">
        <v>190.31</v>
      </c>
    </row>
    <row r="72" spans="1:4" x14ac:dyDescent="0.25">
      <c r="A72">
        <v>140.16999999999999</v>
      </c>
      <c r="B72">
        <v>134.88</v>
      </c>
      <c r="C72">
        <v>150.16999999999999</v>
      </c>
      <c r="D72">
        <v>190.31</v>
      </c>
    </row>
    <row r="73" spans="1:4" x14ac:dyDescent="0.25">
      <c r="A73">
        <v>130.47</v>
      </c>
      <c r="B73">
        <v>134.88</v>
      </c>
      <c r="C73">
        <v>150.16999999999999</v>
      </c>
      <c r="D73">
        <v>212.19</v>
      </c>
    </row>
    <row r="74" spans="1:4" x14ac:dyDescent="0.25">
      <c r="A74">
        <v>130.47</v>
      </c>
      <c r="B74">
        <v>141.83000000000001</v>
      </c>
      <c r="C74">
        <v>146.34</v>
      </c>
      <c r="D74">
        <v>212.19</v>
      </c>
    </row>
    <row r="75" spans="1:4" x14ac:dyDescent="0.25">
      <c r="A75">
        <v>130.85</v>
      </c>
      <c r="B75">
        <v>141.83000000000001</v>
      </c>
      <c r="C75">
        <v>146.34</v>
      </c>
      <c r="D75">
        <v>196.93</v>
      </c>
    </row>
    <row r="76" spans="1:4" x14ac:dyDescent="0.25">
      <c r="A76">
        <v>130.85</v>
      </c>
      <c r="B76">
        <v>135.26</v>
      </c>
      <c r="C76">
        <v>147.36000000000001</v>
      </c>
      <c r="D76">
        <v>196.93</v>
      </c>
    </row>
    <row r="77" spans="1:4" x14ac:dyDescent="0.25">
      <c r="A77">
        <v>134.4</v>
      </c>
      <c r="B77">
        <v>135.26</v>
      </c>
      <c r="C77">
        <v>147.36000000000001</v>
      </c>
      <c r="D77">
        <v>194.22</v>
      </c>
    </row>
    <row r="78" spans="1:4" x14ac:dyDescent="0.25">
      <c r="A78">
        <v>134.4</v>
      </c>
      <c r="B78">
        <v>136.16</v>
      </c>
      <c r="C78">
        <v>153.72</v>
      </c>
      <c r="D78">
        <v>194.22</v>
      </c>
    </row>
    <row r="79" spans="1:4" x14ac:dyDescent="0.25">
      <c r="A79">
        <v>141.81</v>
      </c>
      <c r="B79">
        <v>136.16</v>
      </c>
      <c r="C79">
        <v>153.72</v>
      </c>
      <c r="D79">
        <v>188.65</v>
      </c>
    </row>
    <row r="80" spans="1:4" x14ac:dyDescent="0.25">
      <c r="A80">
        <v>141.81</v>
      </c>
      <c r="B80">
        <v>141.04</v>
      </c>
      <c r="C80">
        <v>165.65</v>
      </c>
      <c r="D80">
        <v>188.65</v>
      </c>
    </row>
    <row r="81" spans="1:4" x14ac:dyDescent="0.25">
      <c r="A81">
        <v>130.38</v>
      </c>
      <c r="B81">
        <v>141.04</v>
      </c>
      <c r="C81">
        <v>165.65</v>
      </c>
      <c r="D81">
        <v>189.9</v>
      </c>
    </row>
    <row r="82" spans="1:4" x14ac:dyDescent="0.25">
      <c r="A82">
        <v>130.38</v>
      </c>
      <c r="B82">
        <v>135.79</v>
      </c>
      <c r="C82">
        <v>145.34</v>
      </c>
      <c r="D82">
        <v>189.9</v>
      </c>
    </row>
    <row r="83" spans="1:4" x14ac:dyDescent="0.25">
      <c r="A83">
        <v>140.57</v>
      </c>
      <c r="B83">
        <v>135.79</v>
      </c>
      <c r="C83">
        <v>145.34</v>
      </c>
      <c r="D83">
        <v>212.15</v>
      </c>
    </row>
    <row r="84" spans="1:4" x14ac:dyDescent="0.25">
      <c r="A84">
        <v>140.57</v>
      </c>
      <c r="B84">
        <v>138.37</v>
      </c>
      <c r="C84">
        <v>148.41</v>
      </c>
      <c r="D84">
        <v>212.15</v>
      </c>
    </row>
    <row r="85" spans="1:4" x14ac:dyDescent="0.25">
      <c r="A85">
        <v>131.47</v>
      </c>
      <c r="B85">
        <v>138.37</v>
      </c>
      <c r="C85">
        <v>148.41</v>
      </c>
      <c r="D85">
        <v>186.92</v>
      </c>
    </row>
    <row r="86" spans="1:4" x14ac:dyDescent="0.25">
      <c r="A86">
        <v>131.47</v>
      </c>
      <c r="B86">
        <v>140.59</v>
      </c>
      <c r="C86">
        <v>147.82</v>
      </c>
      <c r="D86">
        <v>186.92</v>
      </c>
    </row>
    <row r="87" spans="1:4" x14ac:dyDescent="0.25">
      <c r="A87">
        <v>130.30000000000001</v>
      </c>
      <c r="B87">
        <v>140.59</v>
      </c>
      <c r="C87">
        <v>147.82</v>
      </c>
      <c r="D87">
        <v>190.35</v>
      </c>
    </row>
    <row r="88" spans="1:4" x14ac:dyDescent="0.25">
      <c r="A88">
        <v>130.30000000000001</v>
      </c>
      <c r="B88">
        <v>142.01</v>
      </c>
      <c r="C88">
        <v>145.88</v>
      </c>
      <c r="D88">
        <v>190.35</v>
      </c>
    </row>
    <row r="89" spans="1:4" x14ac:dyDescent="0.25">
      <c r="A89">
        <v>139.80000000000001</v>
      </c>
      <c r="B89">
        <v>142.01</v>
      </c>
      <c r="C89">
        <v>145.88</v>
      </c>
      <c r="D89">
        <v>196.67</v>
      </c>
    </row>
    <row r="90" spans="1:4" x14ac:dyDescent="0.25">
      <c r="A90">
        <v>139.80000000000001</v>
      </c>
      <c r="B90">
        <v>135.46</v>
      </c>
      <c r="C90">
        <v>178.29</v>
      </c>
      <c r="D90">
        <v>196.67</v>
      </c>
    </row>
    <row r="91" spans="1:4" x14ac:dyDescent="0.25">
      <c r="A91">
        <v>131.16</v>
      </c>
      <c r="B91">
        <v>135.46</v>
      </c>
      <c r="C91">
        <v>178.29</v>
      </c>
      <c r="D91">
        <v>187.62</v>
      </c>
    </row>
    <row r="92" spans="1:4" x14ac:dyDescent="0.25">
      <c r="A92">
        <v>131.16</v>
      </c>
      <c r="B92">
        <v>143.02000000000001</v>
      </c>
      <c r="C92">
        <v>145.51</v>
      </c>
      <c r="D92">
        <v>187.62</v>
      </c>
    </row>
    <row r="93" spans="1:4" x14ac:dyDescent="0.25">
      <c r="A93">
        <v>129.75</v>
      </c>
      <c r="B93">
        <v>143.02000000000001</v>
      </c>
      <c r="C93">
        <v>145.51</v>
      </c>
      <c r="D93">
        <v>186.99</v>
      </c>
    </row>
    <row r="94" spans="1:4" x14ac:dyDescent="0.25">
      <c r="A94">
        <v>129.75</v>
      </c>
      <c r="B94">
        <v>134.76</v>
      </c>
      <c r="C94">
        <v>145.58000000000001</v>
      </c>
      <c r="D94">
        <v>186.99</v>
      </c>
    </row>
    <row r="95" spans="1:4" x14ac:dyDescent="0.25">
      <c r="A95">
        <v>133.19</v>
      </c>
      <c r="B95">
        <v>134.76</v>
      </c>
      <c r="C95">
        <v>145.58000000000001</v>
      </c>
      <c r="D95">
        <v>194.55</v>
      </c>
    </row>
    <row r="96" spans="1:4" x14ac:dyDescent="0.25">
      <c r="A96">
        <v>133.19</v>
      </c>
      <c r="B96">
        <v>135.04</v>
      </c>
      <c r="C96">
        <v>153.6</v>
      </c>
      <c r="D96">
        <v>194.55</v>
      </c>
    </row>
    <row r="97" spans="1:4" x14ac:dyDescent="0.25">
      <c r="A97">
        <v>130.46</v>
      </c>
      <c r="B97">
        <v>135.04</v>
      </c>
      <c r="C97">
        <v>153.6</v>
      </c>
      <c r="D97">
        <v>186.59</v>
      </c>
    </row>
    <row r="98" spans="1:4" x14ac:dyDescent="0.25">
      <c r="A98">
        <v>130.46</v>
      </c>
      <c r="B98">
        <v>138.19999999999999</v>
      </c>
      <c r="C98">
        <v>145.88999999999999</v>
      </c>
      <c r="D98">
        <v>186.59</v>
      </c>
    </row>
    <row r="99" spans="1:4" x14ac:dyDescent="0.25">
      <c r="A99">
        <v>132.04</v>
      </c>
      <c r="B99">
        <v>138.19999999999999</v>
      </c>
      <c r="C99">
        <v>145.88999999999999</v>
      </c>
      <c r="D99">
        <v>191.39</v>
      </c>
    </row>
    <row r="100" spans="1:4" x14ac:dyDescent="0.25">
      <c r="A100">
        <v>132.04</v>
      </c>
      <c r="B100">
        <v>140.68</v>
      </c>
      <c r="C100">
        <v>144.55000000000001</v>
      </c>
      <c r="D100">
        <v>191.39</v>
      </c>
    </row>
    <row r="101" spans="1:4" x14ac:dyDescent="0.25">
      <c r="A101">
        <v>132.03</v>
      </c>
      <c r="B101">
        <v>140.68</v>
      </c>
      <c r="C101">
        <v>144.55000000000001</v>
      </c>
      <c r="D101">
        <v>192.77</v>
      </c>
    </row>
    <row r="102" spans="1:4" x14ac:dyDescent="0.25">
      <c r="A102">
        <v>132.03</v>
      </c>
      <c r="B102">
        <v>136.59</v>
      </c>
      <c r="C102">
        <v>150.1</v>
      </c>
      <c r="D102">
        <v>192.77</v>
      </c>
    </row>
    <row r="103" spans="1:4" x14ac:dyDescent="0.25">
      <c r="A103">
        <v>136.47999999999999</v>
      </c>
      <c r="B103">
        <v>136.59</v>
      </c>
      <c r="C103">
        <v>150.1</v>
      </c>
      <c r="D103">
        <v>184.69</v>
      </c>
    </row>
    <row r="104" spans="1:4" x14ac:dyDescent="0.25">
      <c r="A104">
        <v>136.47999999999999</v>
      </c>
      <c r="B104">
        <v>144.47999999999999</v>
      </c>
      <c r="C104">
        <v>145.47</v>
      </c>
      <c r="D104">
        <v>184.69</v>
      </c>
    </row>
    <row r="105" spans="1:4" x14ac:dyDescent="0.25">
      <c r="A105">
        <v>130.41999999999999</v>
      </c>
      <c r="B105">
        <v>144.47999999999999</v>
      </c>
      <c r="C105">
        <v>145.47</v>
      </c>
      <c r="D105">
        <v>186.42</v>
      </c>
    </row>
    <row r="106" spans="1:4" x14ac:dyDescent="0.25">
      <c r="A106">
        <v>130.41999999999999</v>
      </c>
      <c r="B106">
        <v>138.99</v>
      </c>
      <c r="C106">
        <v>144.41</v>
      </c>
      <c r="D106">
        <v>186.42</v>
      </c>
    </row>
    <row r="107" spans="1:4" x14ac:dyDescent="0.25">
      <c r="A107">
        <v>133.02000000000001</v>
      </c>
      <c r="B107">
        <v>138.99</v>
      </c>
      <c r="C107">
        <v>144.41</v>
      </c>
      <c r="D107">
        <v>197.06</v>
      </c>
    </row>
    <row r="108" spans="1:4" x14ac:dyDescent="0.25">
      <c r="A108">
        <v>133.02000000000001</v>
      </c>
      <c r="B108">
        <v>136.88</v>
      </c>
      <c r="C108">
        <v>154.77000000000001</v>
      </c>
      <c r="D108">
        <v>197.06</v>
      </c>
    </row>
    <row r="109" spans="1:4" x14ac:dyDescent="0.25">
      <c r="A109">
        <v>156.22999999999999</v>
      </c>
      <c r="B109">
        <v>136.88</v>
      </c>
      <c r="C109">
        <v>154.77000000000001</v>
      </c>
      <c r="D109">
        <v>187.29</v>
      </c>
    </row>
    <row r="110" spans="1:4" x14ac:dyDescent="0.25">
      <c r="A110">
        <v>156.22999999999999</v>
      </c>
      <c r="B110">
        <v>139.24</v>
      </c>
      <c r="C110">
        <v>174.58</v>
      </c>
      <c r="D110">
        <v>187.29</v>
      </c>
    </row>
    <row r="111" spans="1:4" x14ac:dyDescent="0.25">
      <c r="A111">
        <v>129.94999999999999</v>
      </c>
      <c r="B111">
        <v>139.24</v>
      </c>
      <c r="C111">
        <v>174.58</v>
      </c>
      <c r="D111">
        <v>188.57</v>
      </c>
    </row>
    <row r="112" spans="1:4" x14ac:dyDescent="0.25">
      <c r="A112">
        <v>129.94999999999999</v>
      </c>
      <c r="B112">
        <v>138.85</v>
      </c>
      <c r="C112">
        <v>145.43</v>
      </c>
      <c r="D112">
        <v>188.57</v>
      </c>
    </row>
    <row r="113" spans="1:4" x14ac:dyDescent="0.25">
      <c r="A113">
        <v>130.77000000000001</v>
      </c>
      <c r="B113">
        <v>138.85</v>
      </c>
      <c r="C113">
        <v>145.43</v>
      </c>
      <c r="D113">
        <v>220.99</v>
      </c>
    </row>
    <row r="114" spans="1:4" x14ac:dyDescent="0.25">
      <c r="A114">
        <v>130.77000000000001</v>
      </c>
      <c r="B114">
        <v>137.5</v>
      </c>
      <c r="C114">
        <v>148.96</v>
      </c>
      <c r="D114">
        <v>220.99</v>
      </c>
    </row>
    <row r="115" spans="1:4" x14ac:dyDescent="0.25">
      <c r="A115">
        <v>137.11000000000001</v>
      </c>
      <c r="B115">
        <v>137.5</v>
      </c>
      <c r="C115">
        <v>145.63999999999999</v>
      </c>
      <c r="D115">
        <v>187.19</v>
      </c>
    </row>
    <row r="116" spans="1:4" x14ac:dyDescent="0.25">
      <c r="A116">
        <v>137.11000000000001</v>
      </c>
      <c r="B116">
        <v>139.87</v>
      </c>
      <c r="C116">
        <v>145.63999999999999</v>
      </c>
      <c r="D116">
        <v>187.19</v>
      </c>
    </row>
    <row r="117" spans="1:4" x14ac:dyDescent="0.25">
      <c r="A117">
        <v>129.68</v>
      </c>
      <c r="B117">
        <v>139.87</v>
      </c>
      <c r="C117">
        <v>145.63999999999999</v>
      </c>
      <c r="D117">
        <v>186.29</v>
      </c>
    </row>
    <row r="118" spans="1:4" x14ac:dyDescent="0.25">
      <c r="A118">
        <v>129.68</v>
      </c>
      <c r="B118">
        <v>148.75</v>
      </c>
      <c r="C118">
        <v>145.63999999999999</v>
      </c>
      <c r="D118">
        <v>192.2</v>
      </c>
    </row>
    <row r="119" spans="1:4" x14ac:dyDescent="0.25">
      <c r="A119">
        <v>155.63</v>
      </c>
      <c r="B119">
        <v>148.75</v>
      </c>
      <c r="C119">
        <v>165.66</v>
      </c>
      <c r="D119">
        <v>192.2</v>
      </c>
    </row>
    <row r="120" spans="1:4" x14ac:dyDescent="0.25">
      <c r="A120">
        <v>155.63</v>
      </c>
      <c r="B120">
        <v>136.80000000000001</v>
      </c>
      <c r="C120">
        <v>165.66</v>
      </c>
      <c r="D120">
        <v>185.96</v>
      </c>
    </row>
    <row r="121" spans="1:4" x14ac:dyDescent="0.25">
      <c r="A121">
        <v>135.01</v>
      </c>
      <c r="B121">
        <v>136.80000000000001</v>
      </c>
      <c r="C121">
        <v>152.26</v>
      </c>
      <c r="D121">
        <v>185.96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38F7-5DE7-4E4D-A03F-B39C1416496F}">
  <dimension ref="A1:I125"/>
  <sheetViews>
    <sheetView workbookViewId="0">
      <selection activeCell="H27" sqref="H27"/>
    </sheetView>
  </sheetViews>
  <sheetFormatPr baseColWidth="10" defaultRowHeight="15.75" x14ac:dyDescent="0.25"/>
  <sheetData>
    <row r="1" spans="1:9" x14ac:dyDescent="0.25">
      <c r="A1" t="s">
        <v>13</v>
      </c>
      <c r="B1" t="s">
        <v>12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18</v>
      </c>
    </row>
    <row r="2" spans="1:9" x14ac:dyDescent="0.25">
      <c r="A2">
        <v>102.89</v>
      </c>
      <c r="B2">
        <v>101.63</v>
      </c>
      <c r="C2">
        <v>105.46</v>
      </c>
      <c r="D2">
        <v>108.56</v>
      </c>
      <c r="E2">
        <v>109.61</v>
      </c>
      <c r="F2" t="s">
        <v>1</v>
      </c>
      <c r="G2">
        <f>AVERAGE(A:A)</f>
        <v>108.90806722689074</v>
      </c>
      <c r="H2">
        <f t="shared" ref="H2" si="0">AVERAGE(13,14)</f>
        <v>13.5</v>
      </c>
      <c r="I2">
        <f t="shared" ref="I2:I6" si="1">G2-H2</f>
        <v>95.408067226890736</v>
      </c>
    </row>
    <row r="3" spans="1:9" x14ac:dyDescent="0.25">
      <c r="A3">
        <v>102.89</v>
      </c>
      <c r="B3">
        <v>101.63</v>
      </c>
      <c r="C3">
        <v>105.46</v>
      </c>
      <c r="D3">
        <v>104.42</v>
      </c>
      <c r="E3">
        <v>109.61</v>
      </c>
      <c r="F3" t="s">
        <v>3</v>
      </c>
      <c r="G3">
        <f>AVERAGE(B:B)</f>
        <v>110.32524193548379</v>
      </c>
      <c r="H3">
        <v>14</v>
      </c>
      <c r="I3">
        <f t="shared" si="1"/>
        <v>96.325241935483788</v>
      </c>
    </row>
    <row r="4" spans="1:9" x14ac:dyDescent="0.25">
      <c r="A4">
        <v>129.78</v>
      </c>
      <c r="B4">
        <v>102.07</v>
      </c>
      <c r="C4">
        <v>102.06</v>
      </c>
      <c r="D4">
        <v>104.42</v>
      </c>
      <c r="E4">
        <v>135.11000000000001</v>
      </c>
      <c r="F4" t="s">
        <v>2</v>
      </c>
      <c r="G4">
        <f>AVERAGE(C:C)</f>
        <v>108.44113821138211</v>
      </c>
      <c r="H4">
        <f>AVERAGE(13,14)</f>
        <v>13.5</v>
      </c>
      <c r="I4">
        <f t="shared" si="1"/>
        <v>94.941138211382111</v>
      </c>
    </row>
    <row r="5" spans="1:9" x14ac:dyDescent="0.25">
      <c r="A5">
        <v>129.78</v>
      </c>
      <c r="B5">
        <v>102.07</v>
      </c>
      <c r="C5">
        <v>102.06</v>
      </c>
      <c r="D5">
        <v>108.18</v>
      </c>
      <c r="E5">
        <v>135.11000000000001</v>
      </c>
      <c r="F5" t="s">
        <v>4</v>
      </c>
      <c r="G5">
        <f>AVERAGE(D:D)</f>
        <v>110.25714285714287</v>
      </c>
      <c r="H5">
        <v>14</v>
      </c>
      <c r="I5">
        <f t="shared" si="1"/>
        <v>96.257142857142867</v>
      </c>
    </row>
    <row r="6" spans="1:9" x14ac:dyDescent="0.25">
      <c r="A6">
        <v>111.98</v>
      </c>
      <c r="B6">
        <v>105.68</v>
      </c>
      <c r="C6">
        <v>103.32</v>
      </c>
      <c r="D6">
        <v>108.18</v>
      </c>
      <c r="E6">
        <v>103.87</v>
      </c>
      <c r="F6" t="s">
        <v>5</v>
      </c>
      <c r="G6">
        <f>AVERAGE(E:E)</f>
        <v>110.77533333333332</v>
      </c>
      <c r="H6">
        <f>AVERAGE(14,15)</f>
        <v>14.5</v>
      </c>
      <c r="I6">
        <f t="shared" si="1"/>
        <v>96.275333333333322</v>
      </c>
    </row>
    <row r="7" spans="1:9" x14ac:dyDescent="0.25">
      <c r="A7">
        <v>111.98</v>
      </c>
      <c r="B7">
        <v>105.68</v>
      </c>
      <c r="C7">
        <v>103.32</v>
      </c>
      <c r="D7">
        <v>107.15</v>
      </c>
      <c r="E7">
        <v>103.87</v>
      </c>
    </row>
    <row r="8" spans="1:9" x14ac:dyDescent="0.25">
      <c r="A8">
        <v>106.07</v>
      </c>
      <c r="B8">
        <v>117.31</v>
      </c>
      <c r="C8">
        <v>135.81</v>
      </c>
      <c r="D8">
        <v>107.15</v>
      </c>
      <c r="E8">
        <v>105.33</v>
      </c>
    </row>
    <row r="9" spans="1:9" x14ac:dyDescent="0.25">
      <c r="A9">
        <v>106.07</v>
      </c>
      <c r="B9">
        <v>117.31</v>
      </c>
      <c r="C9">
        <v>135.81</v>
      </c>
      <c r="D9">
        <v>128.62</v>
      </c>
      <c r="E9">
        <v>105.33</v>
      </c>
    </row>
    <row r="10" spans="1:9" x14ac:dyDescent="0.25">
      <c r="A10">
        <v>102.94</v>
      </c>
      <c r="B10">
        <v>117.92</v>
      </c>
      <c r="C10">
        <v>110.5</v>
      </c>
      <c r="D10">
        <v>128.62</v>
      </c>
      <c r="E10">
        <v>106.09</v>
      </c>
    </row>
    <row r="11" spans="1:9" x14ac:dyDescent="0.25">
      <c r="A11">
        <v>102.94</v>
      </c>
      <c r="B11">
        <v>117.92</v>
      </c>
      <c r="C11">
        <v>110.5</v>
      </c>
      <c r="D11">
        <v>104.97</v>
      </c>
      <c r="E11">
        <v>106.09</v>
      </c>
    </row>
    <row r="12" spans="1:9" x14ac:dyDescent="0.25">
      <c r="A12">
        <v>106.32</v>
      </c>
      <c r="B12">
        <v>104.57</v>
      </c>
      <c r="C12">
        <v>103.3</v>
      </c>
      <c r="D12">
        <v>104.97</v>
      </c>
      <c r="E12">
        <v>105.64</v>
      </c>
    </row>
    <row r="13" spans="1:9" x14ac:dyDescent="0.25">
      <c r="A13">
        <v>106.32</v>
      </c>
      <c r="B13">
        <v>104.57</v>
      </c>
      <c r="C13">
        <v>103.3</v>
      </c>
      <c r="D13">
        <v>110.73</v>
      </c>
      <c r="E13">
        <v>105.64</v>
      </c>
    </row>
    <row r="14" spans="1:9" x14ac:dyDescent="0.25">
      <c r="A14">
        <v>111.45</v>
      </c>
      <c r="B14">
        <v>103.57</v>
      </c>
      <c r="C14">
        <v>106.18</v>
      </c>
      <c r="D14">
        <v>110.73</v>
      </c>
      <c r="E14">
        <v>136.49</v>
      </c>
    </row>
    <row r="15" spans="1:9" x14ac:dyDescent="0.25">
      <c r="A15">
        <v>111.45</v>
      </c>
      <c r="B15">
        <v>103.57</v>
      </c>
      <c r="C15">
        <v>106.18</v>
      </c>
      <c r="D15">
        <v>108.79</v>
      </c>
      <c r="E15">
        <v>136.49</v>
      </c>
    </row>
    <row r="16" spans="1:9" x14ac:dyDescent="0.25">
      <c r="A16">
        <v>102.51</v>
      </c>
      <c r="B16">
        <v>101.14</v>
      </c>
      <c r="C16">
        <v>102.68</v>
      </c>
      <c r="D16">
        <v>108.79</v>
      </c>
      <c r="E16">
        <v>109.73</v>
      </c>
    </row>
    <row r="17" spans="1:5" x14ac:dyDescent="0.25">
      <c r="A17">
        <v>102.51</v>
      </c>
      <c r="B17">
        <v>101.14</v>
      </c>
      <c r="C17">
        <v>102.68</v>
      </c>
      <c r="D17">
        <v>107.11</v>
      </c>
      <c r="E17">
        <v>109.73</v>
      </c>
    </row>
    <row r="18" spans="1:5" x14ac:dyDescent="0.25">
      <c r="A18">
        <v>108.46</v>
      </c>
      <c r="B18">
        <v>122.08</v>
      </c>
      <c r="C18">
        <v>127.67</v>
      </c>
      <c r="D18">
        <v>107.11</v>
      </c>
      <c r="E18">
        <v>103.75</v>
      </c>
    </row>
    <row r="19" spans="1:5" x14ac:dyDescent="0.25">
      <c r="A19">
        <v>108.46</v>
      </c>
      <c r="B19">
        <v>122.08</v>
      </c>
      <c r="C19">
        <v>127.67</v>
      </c>
      <c r="D19">
        <v>130.03</v>
      </c>
      <c r="E19">
        <v>103.75</v>
      </c>
    </row>
    <row r="20" spans="1:5" x14ac:dyDescent="0.25">
      <c r="A20">
        <v>104.82</v>
      </c>
      <c r="B20">
        <v>128.04</v>
      </c>
      <c r="C20">
        <v>106.1</v>
      </c>
      <c r="D20">
        <v>130.03</v>
      </c>
      <c r="E20">
        <v>110.07</v>
      </c>
    </row>
    <row r="21" spans="1:5" x14ac:dyDescent="0.25">
      <c r="A21">
        <v>104.82</v>
      </c>
      <c r="B21">
        <v>128.04</v>
      </c>
      <c r="C21">
        <v>106.1</v>
      </c>
      <c r="D21">
        <v>104.99</v>
      </c>
      <c r="E21">
        <v>110.07</v>
      </c>
    </row>
    <row r="22" spans="1:5" x14ac:dyDescent="0.25">
      <c r="A22">
        <v>104.09</v>
      </c>
      <c r="B22">
        <v>100.54</v>
      </c>
      <c r="C22">
        <v>105.72</v>
      </c>
      <c r="D22">
        <v>104.99</v>
      </c>
      <c r="E22">
        <v>107.48</v>
      </c>
    </row>
    <row r="23" spans="1:5" x14ac:dyDescent="0.25">
      <c r="A23">
        <v>104.09</v>
      </c>
      <c r="B23">
        <v>100.54</v>
      </c>
      <c r="C23">
        <v>105.72</v>
      </c>
      <c r="D23">
        <v>103.1</v>
      </c>
      <c r="E23">
        <v>107.48</v>
      </c>
    </row>
    <row r="24" spans="1:5" x14ac:dyDescent="0.25">
      <c r="A24">
        <v>126.98</v>
      </c>
      <c r="B24">
        <v>107.75</v>
      </c>
      <c r="C24">
        <v>101.94</v>
      </c>
      <c r="D24">
        <v>103.1</v>
      </c>
      <c r="E24">
        <v>133.44999999999999</v>
      </c>
    </row>
    <row r="25" spans="1:5" x14ac:dyDescent="0.25">
      <c r="A25">
        <v>126.98</v>
      </c>
      <c r="B25">
        <v>107.75</v>
      </c>
      <c r="C25">
        <v>101.94</v>
      </c>
      <c r="D25">
        <v>107.01</v>
      </c>
      <c r="E25">
        <v>133.44999999999999</v>
      </c>
    </row>
    <row r="26" spans="1:5" x14ac:dyDescent="0.25">
      <c r="A26">
        <v>105.54</v>
      </c>
      <c r="B26">
        <v>103.25</v>
      </c>
      <c r="C26">
        <v>110.84</v>
      </c>
      <c r="D26">
        <v>107.01</v>
      </c>
      <c r="E26">
        <v>105.96</v>
      </c>
    </row>
    <row r="27" spans="1:5" x14ac:dyDescent="0.25">
      <c r="A27">
        <v>105.54</v>
      </c>
      <c r="B27">
        <v>103.25</v>
      </c>
      <c r="C27">
        <v>110.84</v>
      </c>
      <c r="D27">
        <v>105.1</v>
      </c>
      <c r="E27">
        <v>105.96</v>
      </c>
    </row>
    <row r="28" spans="1:5" x14ac:dyDescent="0.25">
      <c r="A28">
        <v>102.22</v>
      </c>
      <c r="B28">
        <v>109.48</v>
      </c>
      <c r="C28">
        <v>114.28</v>
      </c>
      <c r="D28">
        <v>105.1</v>
      </c>
      <c r="E28">
        <v>107.27</v>
      </c>
    </row>
    <row r="29" spans="1:5" x14ac:dyDescent="0.25">
      <c r="A29">
        <v>102.22</v>
      </c>
      <c r="B29">
        <v>109.48</v>
      </c>
      <c r="C29">
        <v>114.28</v>
      </c>
      <c r="D29">
        <v>114.03</v>
      </c>
      <c r="E29">
        <v>107.27</v>
      </c>
    </row>
    <row r="30" spans="1:5" x14ac:dyDescent="0.25">
      <c r="A30">
        <v>108.25</v>
      </c>
      <c r="B30">
        <v>126.47</v>
      </c>
      <c r="C30">
        <v>103.11</v>
      </c>
      <c r="D30">
        <v>114.03</v>
      </c>
      <c r="E30">
        <v>105.88</v>
      </c>
    </row>
    <row r="31" spans="1:5" x14ac:dyDescent="0.25">
      <c r="A31">
        <v>108.25</v>
      </c>
      <c r="B31">
        <v>126.47</v>
      </c>
      <c r="C31">
        <v>103.11</v>
      </c>
      <c r="D31">
        <v>111.16</v>
      </c>
      <c r="E31">
        <v>105.88</v>
      </c>
    </row>
    <row r="32" spans="1:5" x14ac:dyDescent="0.25">
      <c r="A32">
        <v>104.63</v>
      </c>
      <c r="B32">
        <v>101.36</v>
      </c>
      <c r="C32">
        <v>103.09</v>
      </c>
      <c r="D32">
        <v>111.16</v>
      </c>
      <c r="E32">
        <v>110.01</v>
      </c>
    </row>
    <row r="33" spans="1:5" x14ac:dyDescent="0.25">
      <c r="A33">
        <v>104.63</v>
      </c>
      <c r="B33">
        <v>101.88</v>
      </c>
      <c r="C33">
        <v>103.09</v>
      </c>
      <c r="D33">
        <v>111.02</v>
      </c>
      <c r="E33">
        <v>110.01</v>
      </c>
    </row>
    <row r="34" spans="1:5" x14ac:dyDescent="0.25">
      <c r="A34">
        <v>117.28</v>
      </c>
      <c r="B34">
        <v>101.88</v>
      </c>
      <c r="C34">
        <v>105.16</v>
      </c>
      <c r="D34">
        <v>111.02</v>
      </c>
      <c r="E34">
        <v>129.36000000000001</v>
      </c>
    </row>
    <row r="35" spans="1:5" x14ac:dyDescent="0.25">
      <c r="A35">
        <v>117.28</v>
      </c>
      <c r="B35">
        <v>110.41</v>
      </c>
      <c r="C35">
        <v>105.16</v>
      </c>
      <c r="D35">
        <v>104.3</v>
      </c>
      <c r="E35">
        <v>129.36000000000001</v>
      </c>
    </row>
    <row r="36" spans="1:5" x14ac:dyDescent="0.25">
      <c r="A36">
        <v>107.31</v>
      </c>
      <c r="B36">
        <v>110.41</v>
      </c>
      <c r="C36">
        <v>100.95</v>
      </c>
      <c r="D36">
        <v>104.3</v>
      </c>
      <c r="E36">
        <v>104.12</v>
      </c>
    </row>
    <row r="37" spans="1:5" x14ac:dyDescent="0.25">
      <c r="A37">
        <v>107.31</v>
      </c>
      <c r="B37">
        <v>107.66</v>
      </c>
      <c r="C37">
        <v>100.95</v>
      </c>
      <c r="D37">
        <v>107.29</v>
      </c>
      <c r="E37">
        <v>104.12</v>
      </c>
    </row>
    <row r="38" spans="1:5" x14ac:dyDescent="0.25">
      <c r="A38">
        <v>106.2</v>
      </c>
      <c r="B38">
        <v>107.66</v>
      </c>
      <c r="C38">
        <v>121.84</v>
      </c>
      <c r="D38">
        <v>107.29</v>
      </c>
      <c r="E38">
        <v>104.39</v>
      </c>
    </row>
    <row r="39" spans="1:5" x14ac:dyDescent="0.25">
      <c r="A39">
        <v>106.2</v>
      </c>
      <c r="B39">
        <v>128.58000000000001</v>
      </c>
      <c r="C39">
        <v>121.84</v>
      </c>
      <c r="D39">
        <v>119.64</v>
      </c>
      <c r="E39">
        <v>104.39</v>
      </c>
    </row>
    <row r="40" spans="1:5" x14ac:dyDescent="0.25">
      <c r="A40">
        <v>101.98</v>
      </c>
      <c r="B40">
        <v>128.58000000000001</v>
      </c>
      <c r="C40">
        <v>104.17</v>
      </c>
      <c r="D40">
        <v>119.64</v>
      </c>
      <c r="E40">
        <v>105.56</v>
      </c>
    </row>
    <row r="41" spans="1:5" x14ac:dyDescent="0.25">
      <c r="A41">
        <v>101.98</v>
      </c>
      <c r="B41">
        <v>103.26</v>
      </c>
      <c r="C41">
        <v>104.17</v>
      </c>
      <c r="D41">
        <v>103.86</v>
      </c>
      <c r="E41">
        <v>105.56</v>
      </c>
    </row>
    <row r="42" spans="1:5" x14ac:dyDescent="0.25">
      <c r="A42">
        <v>106.72</v>
      </c>
      <c r="B42">
        <v>103.26</v>
      </c>
      <c r="C42">
        <v>103.3</v>
      </c>
      <c r="D42">
        <v>103.86</v>
      </c>
      <c r="E42">
        <v>104.18</v>
      </c>
    </row>
    <row r="43" spans="1:5" x14ac:dyDescent="0.25">
      <c r="A43">
        <v>106.72</v>
      </c>
      <c r="B43">
        <v>102.44</v>
      </c>
      <c r="C43">
        <v>103.3</v>
      </c>
      <c r="D43">
        <v>106.05</v>
      </c>
      <c r="E43">
        <v>104.18</v>
      </c>
    </row>
    <row r="44" spans="1:5" x14ac:dyDescent="0.25">
      <c r="A44">
        <v>128.12</v>
      </c>
      <c r="B44">
        <v>102.44</v>
      </c>
      <c r="C44">
        <v>102.43</v>
      </c>
      <c r="D44">
        <v>106.05</v>
      </c>
      <c r="E44">
        <v>116.32</v>
      </c>
    </row>
    <row r="45" spans="1:5" x14ac:dyDescent="0.25">
      <c r="A45">
        <v>128.12</v>
      </c>
      <c r="B45">
        <v>102.77</v>
      </c>
      <c r="C45">
        <v>102.43</v>
      </c>
      <c r="D45">
        <v>110.16</v>
      </c>
      <c r="E45">
        <v>116.32</v>
      </c>
    </row>
    <row r="46" spans="1:5" x14ac:dyDescent="0.25">
      <c r="A46">
        <v>102.72</v>
      </c>
      <c r="B46">
        <v>102.77</v>
      </c>
      <c r="C46">
        <v>109.26</v>
      </c>
      <c r="D46">
        <v>110.16</v>
      </c>
      <c r="E46">
        <v>112.31</v>
      </c>
    </row>
    <row r="47" spans="1:5" x14ac:dyDescent="0.25">
      <c r="A47">
        <v>102.72</v>
      </c>
      <c r="B47">
        <v>124.51</v>
      </c>
      <c r="C47">
        <v>109.26</v>
      </c>
      <c r="D47">
        <v>102.84</v>
      </c>
      <c r="E47">
        <v>112.31</v>
      </c>
    </row>
    <row r="48" spans="1:5" x14ac:dyDescent="0.25">
      <c r="A48">
        <v>107.45</v>
      </c>
      <c r="B48">
        <v>124.51</v>
      </c>
      <c r="C48">
        <v>118.4</v>
      </c>
      <c r="D48">
        <v>102.84</v>
      </c>
      <c r="E48">
        <v>111.49</v>
      </c>
    </row>
    <row r="49" spans="1:5" x14ac:dyDescent="0.25">
      <c r="A49">
        <v>107.45</v>
      </c>
      <c r="B49">
        <v>135.29</v>
      </c>
      <c r="C49">
        <v>118.4</v>
      </c>
      <c r="D49">
        <v>130.19</v>
      </c>
      <c r="E49">
        <v>111.49</v>
      </c>
    </row>
    <row r="50" spans="1:5" x14ac:dyDescent="0.25">
      <c r="A50">
        <v>104.35</v>
      </c>
      <c r="B50">
        <v>135.29</v>
      </c>
      <c r="C50">
        <v>104.03</v>
      </c>
      <c r="D50">
        <v>130.19</v>
      </c>
      <c r="E50">
        <v>102.81</v>
      </c>
    </row>
    <row r="51" spans="1:5" x14ac:dyDescent="0.25">
      <c r="A51">
        <v>104.35</v>
      </c>
      <c r="B51">
        <v>101.86</v>
      </c>
      <c r="C51">
        <v>104.03</v>
      </c>
      <c r="D51">
        <v>111.63</v>
      </c>
      <c r="E51">
        <v>102.81</v>
      </c>
    </row>
    <row r="52" spans="1:5" x14ac:dyDescent="0.25">
      <c r="A52">
        <v>103.51</v>
      </c>
      <c r="B52">
        <v>101.86</v>
      </c>
      <c r="C52">
        <v>106.55</v>
      </c>
      <c r="D52">
        <v>111.63</v>
      </c>
      <c r="E52">
        <v>105.45</v>
      </c>
    </row>
    <row r="53" spans="1:5" x14ac:dyDescent="0.25">
      <c r="A53">
        <v>103.51</v>
      </c>
      <c r="B53">
        <v>102.76</v>
      </c>
      <c r="C53">
        <v>106.55</v>
      </c>
      <c r="D53">
        <v>104.07</v>
      </c>
      <c r="E53">
        <v>105.45</v>
      </c>
    </row>
    <row r="54" spans="1:5" x14ac:dyDescent="0.25">
      <c r="A54">
        <v>125.17</v>
      </c>
      <c r="B54">
        <v>102.76</v>
      </c>
      <c r="C54">
        <v>102.41</v>
      </c>
      <c r="D54">
        <v>104.07</v>
      </c>
      <c r="E54">
        <v>119.31</v>
      </c>
    </row>
    <row r="55" spans="1:5" x14ac:dyDescent="0.25">
      <c r="A55">
        <v>125.17</v>
      </c>
      <c r="B55">
        <v>108.87</v>
      </c>
      <c r="C55">
        <v>102.41</v>
      </c>
      <c r="D55">
        <v>106.52</v>
      </c>
      <c r="E55">
        <v>119.31</v>
      </c>
    </row>
    <row r="56" spans="1:5" x14ac:dyDescent="0.25">
      <c r="A56">
        <v>107.32</v>
      </c>
      <c r="B56">
        <v>108.87</v>
      </c>
      <c r="C56">
        <v>102.93</v>
      </c>
      <c r="D56">
        <v>106.52</v>
      </c>
      <c r="E56">
        <v>105.56</v>
      </c>
    </row>
    <row r="57" spans="1:5" x14ac:dyDescent="0.25">
      <c r="A57">
        <v>107.32</v>
      </c>
      <c r="B57">
        <v>124.4</v>
      </c>
      <c r="C57">
        <v>102.93</v>
      </c>
      <c r="D57">
        <v>105.39</v>
      </c>
      <c r="E57">
        <v>105.56</v>
      </c>
    </row>
    <row r="58" spans="1:5" x14ac:dyDescent="0.25">
      <c r="A58">
        <v>103.68</v>
      </c>
      <c r="B58">
        <v>124.4</v>
      </c>
      <c r="C58">
        <v>133.09</v>
      </c>
      <c r="D58">
        <v>105.39</v>
      </c>
      <c r="E58">
        <v>108.42</v>
      </c>
    </row>
    <row r="59" spans="1:5" x14ac:dyDescent="0.25">
      <c r="A59">
        <v>103.68</v>
      </c>
      <c r="B59">
        <v>114.5</v>
      </c>
      <c r="C59">
        <v>133.09</v>
      </c>
      <c r="D59">
        <v>123.29</v>
      </c>
      <c r="E59">
        <v>108.42</v>
      </c>
    </row>
    <row r="60" spans="1:5" x14ac:dyDescent="0.25">
      <c r="A60">
        <v>110.72</v>
      </c>
      <c r="B60">
        <v>114.5</v>
      </c>
      <c r="C60">
        <v>102.99</v>
      </c>
      <c r="D60">
        <v>123.29</v>
      </c>
      <c r="E60">
        <v>105.7</v>
      </c>
    </row>
    <row r="61" spans="1:5" x14ac:dyDescent="0.25">
      <c r="A61">
        <v>110.72</v>
      </c>
      <c r="B61">
        <v>105.19</v>
      </c>
      <c r="C61">
        <v>102.99</v>
      </c>
      <c r="D61">
        <v>108.12</v>
      </c>
      <c r="E61">
        <v>105.7</v>
      </c>
    </row>
    <row r="62" spans="1:5" x14ac:dyDescent="0.25">
      <c r="A62">
        <v>105.87</v>
      </c>
      <c r="B62">
        <v>105.19</v>
      </c>
      <c r="C62">
        <v>102.07</v>
      </c>
      <c r="D62">
        <v>108.12</v>
      </c>
      <c r="E62">
        <v>104.08</v>
      </c>
    </row>
    <row r="63" spans="1:5" x14ac:dyDescent="0.25">
      <c r="A63">
        <v>105.87</v>
      </c>
      <c r="B63">
        <v>102.2</v>
      </c>
      <c r="C63">
        <v>102.07</v>
      </c>
      <c r="D63">
        <v>106.55</v>
      </c>
      <c r="E63">
        <v>104.08</v>
      </c>
    </row>
    <row r="64" spans="1:5" x14ac:dyDescent="0.25">
      <c r="A64">
        <v>127.14</v>
      </c>
      <c r="B64">
        <v>102.2</v>
      </c>
      <c r="C64">
        <v>109.52</v>
      </c>
      <c r="D64">
        <v>106.55</v>
      </c>
      <c r="E64">
        <v>130.07</v>
      </c>
    </row>
    <row r="65" spans="1:5" x14ac:dyDescent="0.25">
      <c r="A65">
        <v>127.14</v>
      </c>
      <c r="B65">
        <v>102.48</v>
      </c>
      <c r="C65">
        <v>109.52</v>
      </c>
      <c r="D65">
        <v>111.96</v>
      </c>
      <c r="E65">
        <v>130.07</v>
      </c>
    </row>
    <row r="66" spans="1:5" x14ac:dyDescent="0.25">
      <c r="A66">
        <v>102.87</v>
      </c>
      <c r="B66">
        <v>102.48</v>
      </c>
      <c r="C66">
        <v>103.79</v>
      </c>
      <c r="D66">
        <v>111.96</v>
      </c>
      <c r="E66">
        <v>111.34</v>
      </c>
    </row>
    <row r="67" spans="1:5" x14ac:dyDescent="0.25">
      <c r="A67">
        <v>102.87</v>
      </c>
      <c r="B67">
        <v>128.32</v>
      </c>
      <c r="C67">
        <v>103.79</v>
      </c>
      <c r="D67">
        <v>102.93</v>
      </c>
      <c r="E67">
        <v>111.34</v>
      </c>
    </row>
    <row r="68" spans="1:5" x14ac:dyDescent="0.25">
      <c r="A68">
        <v>105.01</v>
      </c>
      <c r="B68">
        <v>128.32</v>
      </c>
      <c r="C68">
        <v>126.26</v>
      </c>
      <c r="D68">
        <v>102.93</v>
      </c>
      <c r="E68">
        <v>103.07</v>
      </c>
    </row>
    <row r="69" spans="1:5" x14ac:dyDescent="0.25">
      <c r="A69">
        <v>105.01</v>
      </c>
      <c r="B69">
        <v>115.52</v>
      </c>
      <c r="C69">
        <v>126.26</v>
      </c>
      <c r="D69">
        <v>127.16</v>
      </c>
      <c r="E69">
        <v>103.07</v>
      </c>
    </row>
    <row r="70" spans="1:5" x14ac:dyDescent="0.25">
      <c r="A70">
        <v>102.32</v>
      </c>
      <c r="B70">
        <v>115.52</v>
      </c>
      <c r="C70">
        <v>107.2</v>
      </c>
      <c r="D70">
        <v>127.16</v>
      </c>
      <c r="E70">
        <v>108.48</v>
      </c>
    </row>
    <row r="71" spans="1:5" x14ac:dyDescent="0.25">
      <c r="A71">
        <v>102.32</v>
      </c>
      <c r="B71">
        <v>102.77</v>
      </c>
      <c r="C71">
        <v>107.2</v>
      </c>
      <c r="D71">
        <v>102.75</v>
      </c>
      <c r="E71">
        <v>108.48</v>
      </c>
    </row>
    <row r="72" spans="1:5" x14ac:dyDescent="0.25">
      <c r="A72">
        <v>105.4</v>
      </c>
      <c r="B72">
        <v>102.77</v>
      </c>
      <c r="C72">
        <v>103.11</v>
      </c>
      <c r="D72">
        <v>102.75</v>
      </c>
      <c r="E72">
        <v>104.83</v>
      </c>
    </row>
    <row r="73" spans="1:5" x14ac:dyDescent="0.25">
      <c r="A73">
        <v>105.4</v>
      </c>
      <c r="B73">
        <v>104.29</v>
      </c>
      <c r="C73">
        <v>103.11</v>
      </c>
      <c r="D73">
        <v>105.96</v>
      </c>
      <c r="E73">
        <v>104.83</v>
      </c>
    </row>
    <row r="74" spans="1:5" x14ac:dyDescent="0.25">
      <c r="A74">
        <v>134.1</v>
      </c>
      <c r="B74">
        <v>104.29</v>
      </c>
      <c r="C74">
        <v>102.98</v>
      </c>
      <c r="D74">
        <v>105.96</v>
      </c>
      <c r="E74">
        <v>125.83</v>
      </c>
    </row>
    <row r="75" spans="1:5" x14ac:dyDescent="0.25">
      <c r="A75">
        <v>134.1</v>
      </c>
      <c r="B75">
        <v>101.92</v>
      </c>
      <c r="C75">
        <v>102.98</v>
      </c>
      <c r="D75">
        <v>106.36</v>
      </c>
      <c r="E75">
        <v>125.83</v>
      </c>
    </row>
    <row r="76" spans="1:5" x14ac:dyDescent="0.25">
      <c r="A76">
        <v>108.44</v>
      </c>
      <c r="B76">
        <v>101.92</v>
      </c>
      <c r="C76">
        <v>108.67</v>
      </c>
      <c r="D76">
        <v>106.36</v>
      </c>
      <c r="E76">
        <v>107.66</v>
      </c>
    </row>
    <row r="77" spans="1:5" x14ac:dyDescent="0.25">
      <c r="A77">
        <v>108.44</v>
      </c>
      <c r="B77">
        <v>117.26</v>
      </c>
      <c r="C77">
        <v>108.67</v>
      </c>
      <c r="D77">
        <v>104.64</v>
      </c>
      <c r="E77">
        <v>107.66</v>
      </c>
    </row>
    <row r="78" spans="1:5" x14ac:dyDescent="0.25">
      <c r="A78">
        <v>103.05</v>
      </c>
      <c r="B78">
        <v>117.26</v>
      </c>
      <c r="C78">
        <v>137.08000000000001</v>
      </c>
      <c r="D78">
        <v>104.64</v>
      </c>
      <c r="E78">
        <v>105.81</v>
      </c>
    </row>
    <row r="79" spans="1:5" x14ac:dyDescent="0.25">
      <c r="A79">
        <v>103.05</v>
      </c>
      <c r="B79">
        <v>116.71</v>
      </c>
      <c r="C79">
        <v>137.08000000000001</v>
      </c>
      <c r="D79">
        <v>128.19</v>
      </c>
      <c r="E79">
        <v>105.81</v>
      </c>
    </row>
    <row r="80" spans="1:5" x14ac:dyDescent="0.25">
      <c r="A80">
        <v>107.29</v>
      </c>
      <c r="B80">
        <v>116.71</v>
      </c>
      <c r="C80">
        <v>102.53</v>
      </c>
      <c r="D80">
        <v>128.19</v>
      </c>
      <c r="E80">
        <v>108.3</v>
      </c>
    </row>
    <row r="81" spans="1:5" x14ac:dyDescent="0.25">
      <c r="A81">
        <v>107.29</v>
      </c>
      <c r="B81">
        <v>100.4</v>
      </c>
      <c r="C81">
        <v>102.53</v>
      </c>
      <c r="D81">
        <v>109.9</v>
      </c>
      <c r="E81">
        <v>108.3</v>
      </c>
    </row>
    <row r="82" spans="1:5" x14ac:dyDescent="0.25">
      <c r="A82">
        <v>103.45</v>
      </c>
      <c r="B82">
        <v>100.4</v>
      </c>
      <c r="C82">
        <v>106.21</v>
      </c>
      <c r="D82">
        <v>109.9</v>
      </c>
      <c r="E82">
        <v>106.21</v>
      </c>
    </row>
    <row r="83" spans="1:5" x14ac:dyDescent="0.25">
      <c r="A83">
        <v>103.45</v>
      </c>
      <c r="B83">
        <v>103.62</v>
      </c>
      <c r="C83">
        <v>106.21</v>
      </c>
      <c r="D83">
        <v>107.06</v>
      </c>
      <c r="E83">
        <v>106.21</v>
      </c>
    </row>
    <row r="84" spans="1:5" x14ac:dyDescent="0.25">
      <c r="A84">
        <v>114.47</v>
      </c>
      <c r="B84">
        <v>103.62</v>
      </c>
      <c r="C84">
        <v>102.22</v>
      </c>
      <c r="D84">
        <v>107.06</v>
      </c>
      <c r="E84">
        <v>131.83000000000001</v>
      </c>
    </row>
    <row r="85" spans="1:5" x14ac:dyDescent="0.25">
      <c r="A85">
        <v>114.47</v>
      </c>
      <c r="B85">
        <v>109.97</v>
      </c>
      <c r="C85">
        <v>102.22</v>
      </c>
      <c r="D85">
        <v>104.59</v>
      </c>
      <c r="E85">
        <v>131.83000000000001</v>
      </c>
    </row>
    <row r="86" spans="1:5" x14ac:dyDescent="0.25">
      <c r="A86">
        <v>108.72</v>
      </c>
      <c r="B86">
        <v>109.97</v>
      </c>
      <c r="C86">
        <v>101.09</v>
      </c>
      <c r="D86">
        <v>104.59</v>
      </c>
      <c r="E86">
        <v>103.98</v>
      </c>
    </row>
    <row r="87" spans="1:5" x14ac:dyDescent="0.25">
      <c r="A87">
        <v>108.72</v>
      </c>
      <c r="B87">
        <v>120.06</v>
      </c>
      <c r="C87">
        <v>101.09</v>
      </c>
      <c r="D87">
        <v>106.1</v>
      </c>
      <c r="E87">
        <v>103.98</v>
      </c>
    </row>
    <row r="88" spans="1:5" x14ac:dyDescent="0.25">
      <c r="A88">
        <v>103.41</v>
      </c>
      <c r="B88">
        <v>120.06</v>
      </c>
      <c r="C88">
        <v>128.41999999999999</v>
      </c>
      <c r="D88">
        <v>106.1</v>
      </c>
      <c r="E88">
        <v>108.61</v>
      </c>
    </row>
    <row r="89" spans="1:5" x14ac:dyDescent="0.25">
      <c r="A89">
        <v>103.41</v>
      </c>
      <c r="B89">
        <v>123.74</v>
      </c>
      <c r="C89">
        <v>128.41999999999999</v>
      </c>
      <c r="D89">
        <v>128.24</v>
      </c>
      <c r="E89">
        <v>108.61</v>
      </c>
    </row>
    <row r="90" spans="1:5" x14ac:dyDescent="0.25">
      <c r="A90">
        <v>101.99</v>
      </c>
      <c r="B90">
        <v>123.74</v>
      </c>
      <c r="C90">
        <v>106.11</v>
      </c>
      <c r="D90">
        <v>128.24</v>
      </c>
      <c r="E90">
        <v>105.63</v>
      </c>
    </row>
    <row r="91" spans="1:5" x14ac:dyDescent="0.25">
      <c r="A91">
        <v>101.99</v>
      </c>
      <c r="B91">
        <v>105.92</v>
      </c>
      <c r="C91">
        <v>106.11</v>
      </c>
      <c r="D91">
        <v>103.1</v>
      </c>
      <c r="E91">
        <v>105.63</v>
      </c>
    </row>
    <row r="92" spans="1:5" x14ac:dyDescent="0.25">
      <c r="A92">
        <v>112.33</v>
      </c>
      <c r="B92">
        <v>105.92</v>
      </c>
      <c r="C92">
        <v>100.81</v>
      </c>
      <c r="D92">
        <v>103.1</v>
      </c>
      <c r="E92">
        <v>106.39</v>
      </c>
    </row>
    <row r="93" spans="1:5" x14ac:dyDescent="0.25">
      <c r="A93">
        <v>112.33</v>
      </c>
      <c r="B93">
        <v>101.01</v>
      </c>
      <c r="C93">
        <v>100.81</v>
      </c>
      <c r="D93">
        <v>106.16</v>
      </c>
      <c r="E93">
        <v>106.39</v>
      </c>
    </row>
    <row r="94" spans="1:5" x14ac:dyDescent="0.25">
      <c r="A94">
        <v>124.26</v>
      </c>
      <c r="B94">
        <v>101.01</v>
      </c>
      <c r="C94">
        <v>107.3</v>
      </c>
      <c r="D94">
        <v>106.16</v>
      </c>
      <c r="E94">
        <v>133.41999999999999</v>
      </c>
    </row>
    <row r="95" spans="1:5" x14ac:dyDescent="0.25">
      <c r="A95">
        <v>124.26</v>
      </c>
      <c r="B95">
        <v>101.6</v>
      </c>
      <c r="C95">
        <v>107.3</v>
      </c>
      <c r="D95">
        <v>104.19</v>
      </c>
      <c r="E95">
        <v>133.41999999999999</v>
      </c>
    </row>
    <row r="96" spans="1:5" x14ac:dyDescent="0.25">
      <c r="A96">
        <v>100.9</v>
      </c>
      <c r="B96">
        <v>101.6</v>
      </c>
      <c r="C96">
        <v>108.83</v>
      </c>
      <c r="D96">
        <v>104.19</v>
      </c>
      <c r="E96">
        <v>109.44</v>
      </c>
    </row>
    <row r="97" spans="1:5" x14ac:dyDescent="0.25">
      <c r="A97">
        <v>100.9</v>
      </c>
      <c r="B97">
        <v>105.53</v>
      </c>
      <c r="C97">
        <v>108.83</v>
      </c>
      <c r="D97">
        <v>104.7</v>
      </c>
      <c r="E97">
        <v>109.44</v>
      </c>
    </row>
    <row r="98" spans="1:5" x14ac:dyDescent="0.25">
      <c r="A98">
        <v>105.8</v>
      </c>
      <c r="B98">
        <v>105.53</v>
      </c>
      <c r="C98">
        <v>107.83</v>
      </c>
      <c r="D98">
        <v>104.7</v>
      </c>
      <c r="E98">
        <v>105.34</v>
      </c>
    </row>
    <row r="99" spans="1:5" x14ac:dyDescent="0.25">
      <c r="A99">
        <v>105.8</v>
      </c>
      <c r="B99">
        <v>127.05</v>
      </c>
      <c r="C99">
        <v>107.83</v>
      </c>
      <c r="D99">
        <v>117.63</v>
      </c>
      <c r="E99">
        <v>105.34</v>
      </c>
    </row>
    <row r="100" spans="1:5" x14ac:dyDescent="0.25">
      <c r="A100">
        <v>103.82</v>
      </c>
      <c r="B100">
        <v>127.05</v>
      </c>
      <c r="C100">
        <v>102</v>
      </c>
      <c r="D100">
        <v>117.63</v>
      </c>
      <c r="E100">
        <v>107.62</v>
      </c>
    </row>
    <row r="101" spans="1:5" x14ac:dyDescent="0.25">
      <c r="A101">
        <v>103.82</v>
      </c>
      <c r="B101">
        <v>100.96</v>
      </c>
      <c r="C101">
        <v>102</v>
      </c>
      <c r="D101">
        <v>108.71</v>
      </c>
      <c r="E101">
        <v>107.62</v>
      </c>
    </row>
    <row r="102" spans="1:5" x14ac:dyDescent="0.25">
      <c r="A102">
        <v>102.27</v>
      </c>
      <c r="B102">
        <v>100.96</v>
      </c>
      <c r="C102">
        <v>105.31</v>
      </c>
      <c r="D102">
        <v>108.71</v>
      </c>
      <c r="E102">
        <v>107.58</v>
      </c>
    </row>
    <row r="103" spans="1:5" x14ac:dyDescent="0.25">
      <c r="A103">
        <v>102.27</v>
      </c>
      <c r="B103">
        <v>108.64</v>
      </c>
      <c r="C103">
        <v>105.31</v>
      </c>
      <c r="D103">
        <v>113.48</v>
      </c>
      <c r="E103">
        <v>107.58</v>
      </c>
    </row>
    <row r="104" spans="1:5" x14ac:dyDescent="0.25">
      <c r="A104">
        <v>122.5</v>
      </c>
      <c r="B104">
        <v>108.64</v>
      </c>
      <c r="C104">
        <v>101.23</v>
      </c>
      <c r="D104">
        <v>113.48</v>
      </c>
      <c r="E104">
        <v>127.85</v>
      </c>
    </row>
    <row r="105" spans="1:5" x14ac:dyDescent="0.25">
      <c r="A105">
        <v>122.5</v>
      </c>
      <c r="B105">
        <v>106.42</v>
      </c>
      <c r="C105">
        <v>101.23</v>
      </c>
      <c r="D105">
        <v>107.1</v>
      </c>
      <c r="E105">
        <v>127.85</v>
      </c>
    </row>
    <row r="106" spans="1:5" x14ac:dyDescent="0.25">
      <c r="A106">
        <v>103.13</v>
      </c>
      <c r="B106">
        <v>106.42</v>
      </c>
      <c r="C106">
        <v>105.36</v>
      </c>
      <c r="D106">
        <v>107.1</v>
      </c>
      <c r="E106">
        <v>102.87</v>
      </c>
    </row>
    <row r="107" spans="1:5" x14ac:dyDescent="0.25">
      <c r="A107">
        <v>103.13</v>
      </c>
      <c r="B107">
        <v>102.19</v>
      </c>
      <c r="C107">
        <v>105.36</v>
      </c>
      <c r="D107">
        <v>105.17</v>
      </c>
      <c r="E107">
        <v>102.87</v>
      </c>
    </row>
    <row r="108" spans="1:5" x14ac:dyDescent="0.25">
      <c r="A108">
        <v>100.89</v>
      </c>
      <c r="B108">
        <v>102.19</v>
      </c>
      <c r="C108">
        <v>117.54</v>
      </c>
      <c r="D108">
        <v>105.17</v>
      </c>
      <c r="E108">
        <v>104.48</v>
      </c>
    </row>
    <row r="109" spans="1:5" x14ac:dyDescent="0.25">
      <c r="A109">
        <v>100.89</v>
      </c>
      <c r="B109">
        <v>127.03</v>
      </c>
      <c r="C109">
        <v>117.54</v>
      </c>
      <c r="D109">
        <v>115.28</v>
      </c>
      <c r="E109">
        <v>104.48</v>
      </c>
    </row>
    <row r="110" spans="1:5" x14ac:dyDescent="0.25">
      <c r="A110">
        <v>105.51</v>
      </c>
      <c r="B110">
        <v>127.03</v>
      </c>
      <c r="C110">
        <v>106.76</v>
      </c>
      <c r="D110">
        <v>115.28</v>
      </c>
      <c r="E110">
        <v>103.42</v>
      </c>
    </row>
    <row r="111" spans="1:5" x14ac:dyDescent="0.25">
      <c r="A111">
        <v>105.51</v>
      </c>
      <c r="B111">
        <v>103.53</v>
      </c>
      <c r="C111">
        <v>106.76</v>
      </c>
      <c r="D111">
        <v>105.77</v>
      </c>
      <c r="E111">
        <v>103.42</v>
      </c>
    </row>
    <row r="112" spans="1:5" x14ac:dyDescent="0.25">
      <c r="A112">
        <v>111.28</v>
      </c>
      <c r="B112">
        <v>103.53</v>
      </c>
      <c r="C112">
        <v>101.6</v>
      </c>
      <c r="D112">
        <v>105.77</v>
      </c>
      <c r="E112">
        <v>104.58</v>
      </c>
    </row>
    <row r="113" spans="1:5" x14ac:dyDescent="0.25">
      <c r="A113">
        <v>111.28</v>
      </c>
      <c r="B113">
        <v>101.32</v>
      </c>
      <c r="C113">
        <v>101.6</v>
      </c>
      <c r="D113">
        <v>106.49</v>
      </c>
      <c r="E113">
        <v>104.58</v>
      </c>
    </row>
    <row r="114" spans="1:5" x14ac:dyDescent="0.25">
      <c r="A114">
        <v>120.43</v>
      </c>
      <c r="B114">
        <v>101.32</v>
      </c>
      <c r="C114">
        <v>110.94</v>
      </c>
      <c r="D114">
        <v>106.49</v>
      </c>
      <c r="E114">
        <v>117.33</v>
      </c>
    </row>
    <row r="115" spans="1:5" x14ac:dyDescent="0.25">
      <c r="A115">
        <v>120.43</v>
      </c>
      <c r="B115">
        <v>105.55</v>
      </c>
      <c r="C115">
        <v>110.94</v>
      </c>
      <c r="D115">
        <v>105.59</v>
      </c>
      <c r="E115">
        <v>117.33</v>
      </c>
    </row>
    <row r="116" spans="1:5" x14ac:dyDescent="0.25">
      <c r="A116">
        <v>107.06</v>
      </c>
      <c r="B116">
        <v>105.55</v>
      </c>
      <c r="C116">
        <v>103.19</v>
      </c>
      <c r="D116">
        <v>105.59</v>
      </c>
      <c r="E116">
        <v>111.34</v>
      </c>
    </row>
    <row r="117" spans="1:5" x14ac:dyDescent="0.25">
      <c r="A117">
        <v>107.06</v>
      </c>
      <c r="B117">
        <v>103.31</v>
      </c>
      <c r="C117">
        <v>103.19</v>
      </c>
      <c r="D117">
        <v>111.62</v>
      </c>
      <c r="E117">
        <v>111.34</v>
      </c>
    </row>
    <row r="118" spans="1:5" x14ac:dyDescent="0.25">
      <c r="A118">
        <v>104.17</v>
      </c>
      <c r="B118">
        <v>103.31</v>
      </c>
      <c r="C118">
        <v>115.72</v>
      </c>
      <c r="D118">
        <v>111.62</v>
      </c>
      <c r="E118">
        <v>102.39</v>
      </c>
    </row>
    <row r="119" spans="1:5" x14ac:dyDescent="0.25">
      <c r="A119">
        <v>104.17</v>
      </c>
      <c r="B119">
        <v>128.38999999999999</v>
      </c>
      <c r="C119">
        <v>115.72</v>
      </c>
      <c r="D119">
        <v>128.88</v>
      </c>
      <c r="E119">
        <v>102.39</v>
      </c>
    </row>
    <row r="120" spans="1:5" x14ac:dyDescent="0.25">
      <c r="A120">
        <v>101.38</v>
      </c>
      <c r="B120">
        <v>128.38999999999999</v>
      </c>
      <c r="C120">
        <v>106.9</v>
      </c>
      <c r="D120">
        <v>128.88</v>
      </c>
      <c r="E120">
        <v>106.02</v>
      </c>
    </row>
    <row r="121" spans="1:5" x14ac:dyDescent="0.25">
      <c r="B121">
        <v>101.98</v>
      </c>
      <c r="C121">
        <v>106.9</v>
      </c>
      <c r="E121">
        <v>106.02</v>
      </c>
    </row>
    <row r="122" spans="1:5" x14ac:dyDescent="0.25">
      <c r="B122">
        <v>101.98</v>
      </c>
      <c r="C122">
        <v>108.02</v>
      </c>
    </row>
    <row r="123" spans="1:5" x14ac:dyDescent="0.25">
      <c r="B123">
        <v>113.13</v>
      </c>
      <c r="C123">
        <v>108.02</v>
      </c>
    </row>
    <row r="124" spans="1:5" x14ac:dyDescent="0.25">
      <c r="B124">
        <v>113.13</v>
      </c>
      <c r="C124">
        <v>105.92</v>
      </c>
    </row>
    <row r="125" spans="1:5" x14ac:dyDescent="0.25">
      <c r="B125">
        <v>141.57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EE5-AABE-494A-BE80-ACF6EA5DEB79}">
  <dimension ref="A1:J121"/>
  <sheetViews>
    <sheetView workbookViewId="0">
      <selection activeCell="I20" sqref="I20"/>
    </sheetView>
  </sheetViews>
  <sheetFormatPr baseColWidth="10" defaultRowHeight="15.75" x14ac:dyDescent="0.25"/>
  <cols>
    <col min="9" max="9" width="14.125" bestFit="1" customWidth="1"/>
    <col min="10" max="10" width="16" bestFit="1" customWidth="1"/>
  </cols>
  <sheetData>
    <row r="1" spans="1:10" x14ac:dyDescent="0.25">
      <c r="A1" t="s">
        <v>6</v>
      </c>
      <c r="B1" t="s">
        <v>6</v>
      </c>
      <c r="C1" t="s">
        <v>6</v>
      </c>
      <c r="D1" t="s">
        <v>6</v>
      </c>
      <c r="E1" s="1" t="s">
        <v>9</v>
      </c>
      <c r="F1" t="s">
        <v>0</v>
      </c>
      <c r="G1" t="s">
        <v>8</v>
      </c>
      <c r="H1" t="s">
        <v>14</v>
      </c>
      <c r="I1" t="s">
        <v>29</v>
      </c>
      <c r="J1" t="s">
        <v>28</v>
      </c>
    </row>
    <row r="2" spans="1:10" x14ac:dyDescent="0.25">
      <c r="A2">
        <v>116</v>
      </c>
      <c r="B2">
        <v>126.27</v>
      </c>
      <c r="C2">
        <v>136.38999999999999</v>
      </c>
      <c r="D2">
        <v>144.34</v>
      </c>
      <c r="F2" t="s">
        <v>1</v>
      </c>
      <c r="G2">
        <f>AVERAGE(A:A)</f>
        <v>118.77975000000001</v>
      </c>
      <c r="H2">
        <f>AVERAGE(20,21)</f>
        <v>20.5</v>
      </c>
      <c r="I2">
        <f t="shared" ref="I2:I5" si="0">G2-H2</f>
        <v>98.279750000000007</v>
      </c>
      <c r="J2">
        <f>13+I2</f>
        <v>111.27975000000001</v>
      </c>
    </row>
    <row r="3" spans="1:10" x14ac:dyDescent="0.25">
      <c r="A3">
        <v>116</v>
      </c>
      <c r="B3">
        <v>126.27</v>
      </c>
      <c r="C3">
        <v>137.63</v>
      </c>
      <c r="D3">
        <v>144.34</v>
      </c>
      <c r="F3" t="s">
        <v>3</v>
      </c>
      <c r="G3">
        <f>AVERAGE(B:B)</f>
        <v>120.25466666666669</v>
      </c>
      <c r="H3">
        <f>AVERAGE(23,24)</f>
        <v>23.5</v>
      </c>
      <c r="I3">
        <f t="shared" si="0"/>
        <v>96.754666666666694</v>
      </c>
      <c r="J3">
        <f t="shared" ref="J3:J4" si="1">13+I3</f>
        <v>109.75466666666669</v>
      </c>
    </row>
    <row r="4" spans="1:10" x14ac:dyDescent="0.25">
      <c r="A4">
        <v>115.49</v>
      </c>
      <c r="B4">
        <v>123.96</v>
      </c>
      <c r="C4">
        <v>137.63</v>
      </c>
      <c r="D4">
        <v>139.41999999999999</v>
      </c>
      <c r="F4" t="s">
        <v>2</v>
      </c>
      <c r="G4">
        <f>AVERAGE(C:C)</f>
        <v>132.06966666666659</v>
      </c>
      <c r="H4">
        <f>AVERAGE(31,33)</f>
        <v>32</v>
      </c>
      <c r="I4">
        <f t="shared" si="0"/>
        <v>100.06966666666659</v>
      </c>
      <c r="J4">
        <f t="shared" si="1"/>
        <v>113.06966666666659</v>
      </c>
    </row>
    <row r="5" spans="1:10" x14ac:dyDescent="0.25">
      <c r="A5">
        <v>115.49</v>
      </c>
      <c r="B5">
        <v>123.96</v>
      </c>
      <c r="C5">
        <v>129.03</v>
      </c>
      <c r="D5">
        <v>139.41999999999999</v>
      </c>
      <c r="F5" t="s">
        <v>4</v>
      </c>
      <c r="G5">
        <f>AVERAGE(D:D)</f>
        <v>142.96508333333333</v>
      </c>
      <c r="H5">
        <f>AVERAGE(42,45)</f>
        <v>43.5</v>
      </c>
      <c r="I5">
        <f t="shared" si="0"/>
        <v>99.465083333333325</v>
      </c>
      <c r="J5">
        <f>13+I5</f>
        <v>112.46508333333333</v>
      </c>
    </row>
    <row r="6" spans="1:10" x14ac:dyDescent="0.25">
      <c r="A6">
        <v>113.35</v>
      </c>
      <c r="B6">
        <v>116.55</v>
      </c>
      <c r="C6">
        <v>129.03</v>
      </c>
      <c r="D6">
        <v>139.59</v>
      </c>
      <c r="F6" t="s">
        <v>5</v>
      </c>
      <c r="G6" t="s">
        <v>19</v>
      </c>
      <c r="H6" t="s">
        <v>19</v>
      </c>
      <c r="I6" t="s">
        <v>19</v>
      </c>
      <c r="J6" t="s">
        <v>19</v>
      </c>
    </row>
    <row r="7" spans="1:10" x14ac:dyDescent="0.25">
      <c r="A7">
        <v>113.35</v>
      </c>
      <c r="B7">
        <v>116.55</v>
      </c>
      <c r="C7">
        <v>130.53</v>
      </c>
      <c r="D7">
        <v>139.59</v>
      </c>
    </row>
    <row r="8" spans="1:10" x14ac:dyDescent="0.25">
      <c r="A8">
        <v>116.25</v>
      </c>
      <c r="B8">
        <v>117.9</v>
      </c>
      <c r="C8">
        <v>130.53</v>
      </c>
      <c r="D8">
        <v>148.16</v>
      </c>
    </row>
    <row r="9" spans="1:10" x14ac:dyDescent="0.25">
      <c r="A9">
        <v>116.25</v>
      </c>
      <c r="B9">
        <v>117.9</v>
      </c>
      <c r="C9">
        <v>137.93</v>
      </c>
      <c r="D9">
        <v>148.16</v>
      </c>
    </row>
    <row r="10" spans="1:10" x14ac:dyDescent="0.25">
      <c r="A10">
        <v>116.16</v>
      </c>
      <c r="B10">
        <v>129.9</v>
      </c>
      <c r="C10">
        <v>137.93</v>
      </c>
      <c r="D10">
        <v>139.53</v>
      </c>
    </row>
    <row r="11" spans="1:10" x14ac:dyDescent="0.25">
      <c r="A11">
        <v>116.16</v>
      </c>
      <c r="B11">
        <v>129.9</v>
      </c>
      <c r="C11">
        <v>129.81</v>
      </c>
      <c r="D11">
        <v>139.53</v>
      </c>
    </row>
    <row r="12" spans="1:10" x14ac:dyDescent="0.25">
      <c r="A12">
        <v>123.27</v>
      </c>
      <c r="B12">
        <v>115.75</v>
      </c>
      <c r="C12">
        <v>129.81</v>
      </c>
      <c r="D12">
        <v>138.59</v>
      </c>
    </row>
    <row r="13" spans="1:10" x14ac:dyDescent="0.25">
      <c r="A13">
        <v>123.27</v>
      </c>
      <c r="B13">
        <v>115.75</v>
      </c>
      <c r="C13">
        <v>130.96</v>
      </c>
      <c r="D13">
        <v>138.59</v>
      </c>
    </row>
    <row r="14" spans="1:10" x14ac:dyDescent="0.25">
      <c r="A14">
        <v>118.24</v>
      </c>
      <c r="B14">
        <v>120.33</v>
      </c>
      <c r="C14">
        <v>130.96</v>
      </c>
      <c r="D14">
        <v>142.31</v>
      </c>
    </row>
    <row r="15" spans="1:10" x14ac:dyDescent="0.25">
      <c r="A15">
        <v>118.24</v>
      </c>
      <c r="B15">
        <v>120.33</v>
      </c>
      <c r="C15">
        <v>133.94999999999999</v>
      </c>
      <c r="D15">
        <v>142.31</v>
      </c>
    </row>
    <row r="16" spans="1:10" x14ac:dyDescent="0.25">
      <c r="A16">
        <v>113.52</v>
      </c>
      <c r="B16">
        <v>118.39</v>
      </c>
      <c r="C16">
        <v>133.94999999999999</v>
      </c>
      <c r="D16">
        <v>140.35</v>
      </c>
    </row>
    <row r="17" spans="1:4" x14ac:dyDescent="0.25">
      <c r="A17">
        <v>113.52</v>
      </c>
      <c r="B17">
        <v>118.39</v>
      </c>
      <c r="C17">
        <v>129.15</v>
      </c>
      <c r="D17">
        <v>140.35</v>
      </c>
    </row>
    <row r="18" spans="1:4" x14ac:dyDescent="0.25">
      <c r="A18">
        <v>119.93</v>
      </c>
      <c r="B18">
        <v>117</v>
      </c>
      <c r="C18">
        <v>129.15</v>
      </c>
      <c r="D18">
        <v>139.74</v>
      </c>
    </row>
    <row r="19" spans="1:4" x14ac:dyDescent="0.25">
      <c r="A19">
        <v>119.93</v>
      </c>
      <c r="B19">
        <v>117</v>
      </c>
      <c r="C19">
        <v>136.44</v>
      </c>
      <c r="D19">
        <v>139.74</v>
      </c>
    </row>
    <row r="20" spans="1:4" x14ac:dyDescent="0.25">
      <c r="A20">
        <v>116.58</v>
      </c>
      <c r="B20">
        <v>137.08000000000001</v>
      </c>
      <c r="C20">
        <v>136.44</v>
      </c>
      <c r="D20">
        <v>149.69</v>
      </c>
    </row>
    <row r="21" spans="1:4" x14ac:dyDescent="0.25">
      <c r="A21">
        <v>116.58</v>
      </c>
      <c r="B21">
        <v>137.08000000000001</v>
      </c>
      <c r="C21">
        <v>131.44999999999999</v>
      </c>
      <c r="D21">
        <v>149.69</v>
      </c>
    </row>
    <row r="22" spans="1:4" x14ac:dyDescent="0.25">
      <c r="A22">
        <v>114.27</v>
      </c>
      <c r="B22">
        <v>117.35</v>
      </c>
      <c r="C22">
        <v>131.44999999999999</v>
      </c>
      <c r="D22">
        <v>140.01</v>
      </c>
    </row>
    <row r="23" spans="1:4" x14ac:dyDescent="0.25">
      <c r="A23">
        <v>114.27</v>
      </c>
      <c r="B23">
        <v>117.35</v>
      </c>
      <c r="C23">
        <v>133.01</v>
      </c>
      <c r="D23">
        <v>140.01</v>
      </c>
    </row>
    <row r="24" spans="1:4" x14ac:dyDescent="0.25">
      <c r="A24">
        <v>119.07</v>
      </c>
      <c r="B24">
        <v>116.01</v>
      </c>
      <c r="C24">
        <v>133.01</v>
      </c>
      <c r="D24">
        <v>139.59</v>
      </c>
    </row>
    <row r="25" spans="1:4" x14ac:dyDescent="0.25">
      <c r="A25">
        <v>119.07</v>
      </c>
      <c r="B25">
        <v>116.01</v>
      </c>
      <c r="C25">
        <v>131.06</v>
      </c>
      <c r="D25">
        <v>139.59</v>
      </c>
    </row>
    <row r="26" spans="1:4" x14ac:dyDescent="0.25">
      <c r="A26">
        <v>114.58</v>
      </c>
      <c r="B26">
        <v>119.94</v>
      </c>
      <c r="C26">
        <v>131.06</v>
      </c>
      <c r="D26">
        <v>149.69</v>
      </c>
    </row>
    <row r="27" spans="1:4" x14ac:dyDescent="0.25">
      <c r="A27">
        <v>114.58</v>
      </c>
      <c r="B27">
        <v>119.94</v>
      </c>
      <c r="C27">
        <v>132.29</v>
      </c>
      <c r="D27">
        <v>149.69</v>
      </c>
    </row>
    <row r="28" spans="1:4" x14ac:dyDescent="0.25">
      <c r="A28">
        <v>125.42</v>
      </c>
      <c r="B28">
        <v>117.88</v>
      </c>
      <c r="C28">
        <v>132.29</v>
      </c>
      <c r="D28">
        <v>139.54</v>
      </c>
    </row>
    <row r="29" spans="1:4" x14ac:dyDescent="0.25">
      <c r="A29">
        <v>125.42</v>
      </c>
      <c r="B29">
        <v>117.88</v>
      </c>
      <c r="C29">
        <v>129.53</v>
      </c>
      <c r="D29">
        <v>139.54</v>
      </c>
    </row>
    <row r="30" spans="1:4" x14ac:dyDescent="0.25">
      <c r="A30">
        <v>123.95</v>
      </c>
      <c r="B30">
        <v>117.55</v>
      </c>
      <c r="C30">
        <v>129.53</v>
      </c>
      <c r="D30">
        <v>140.83000000000001</v>
      </c>
    </row>
    <row r="31" spans="1:4" x14ac:dyDescent="0.25">
      <c r="A31">
        <v>123.95</v>
      </c>
      <c r="B31">
        <v>117.55</v>
      </c>
      <c r="C31">
        <v>131.28</v>
      </c>
      <c r="D31">
        <v>140.83000000000001</v>
      </c>
    </row>
    <row r="32" spans="1:4" x14ac:dyDescent="0.25">
      <c r="A32">
        <v>120.42</v>
      </c>
      <c r="B32">
        <v>116.63</v>
      </c>
      <c r="C32">
        <v>131.28</v>
      </c>
      <c r="D32">
        <v>143.87</v>
      </c>
    </row>
    <row r="33" spans="1:4" x14ac:dyDescent="0.25">
      <c r="A33">
        <v>120.42</v>
      </c>
      <c r="B33">
        <v>116.63</v>
      </c>
      <c r="C33">
        <v>134.61000000000001</v>
      </c>
      <c r="D33">
        <v>143.87</v>
      </c>
    </row>
    <row r="34" spans="1:4" x14ac:dyDescent="0.25">
      <c r="A34">
        <v>115.68</v>
      </c>
      <c r="B34">
        <v>120.5</v>
      </c>
      <c r="C34">
        <v>134.61000000000001</v>
      </c>
      <c r="D34">
        <v>139.41</v>
      </c>
    </row>
    <row r="35" spans="1:4" x14ac:dyDescent="0.25">
      <c r="A35">
        <v>115.68</v>
      </c>
      <c r="B35">
        <v>120.5</v>
      </c>
      <c r="C35">
        <v>133.44999999999999</v>
      </c>
      <c r="D35">
        <v>139.41</v>
      </c>
    </row>
    <row r="36" spans="1:4" x14ac:dyDescent="0.25">
      <c r="A36">
        <v>118.51</v>
      </c>
      <c r="B36">
        <v>121.85</v>
      </c>
      <c r="C36">
        <v>133.44999999999999</v>
      </c>
      <c r="D36">
        <v>140.49</v>
      </c>
    </row>
    <row r="37" spans="1:4" x14ac:dyDescent="0.25">
      <c r="A37">
        <v>118.51</v>
      </c>
      <c r="B37">
        <v>121.85</v>
      </c>
      <c r="C37">
        <v>130.24</v>
      </c>
      <c r="D37">
        <v>140.49</v>
      </c>
    </row>
    <row r="38" spans="1:4" x14ac:dyDescent="0.25">
      <c r="A38">
        <v>119.05</v>
      </c>
      <c r="B38">
        <v>119.07</v>
      </c>
      <c r="C38">
        <v>130.24</v>
      </c>
      <c r="D38">
        <v>149.77000000000001</v>
      </c>
    </row>
    <row r="39" spans="1:4" x14ac:dyDescent="0.25">
      <c r="A39">
        <v>119.05</v>
      </c>
      <c r="B39">
        <v>119.07</v>
      </c>
      <c r="C39">
        <v>132.22999999999999</v>
      </c>
      <c r="D39">
        <v>149.77000000000001</v>
      </c>
    </row>
    <row r="40" spans="1:4" x14ac:dyDescent="0.25">
      <c r="A40">
        <v>112.96</v>
      </c>
      <c r="B40">
        <v>118.21</v>
      </c>
      <c r="C40">
        <v>132.22999999999999</v>
      </c>
      <c r="D40">
        <v>150.5</v>
      </c>
    </row>
    <row r="41" spans="1:4" x14ac:dyDescent="0.25">
      <c r="A41">
        <v>112.96</v>
      </c>
      <c r="B41">
        <v>118.21</v>
      </c>
      <c r="C41">
        <v>128.75</v>
      </c>
      <c r="D41">
        <v>150.5</v>
      </c>
    </row>
    <row r="42" spans="1:4" x14ac:dyDescent="0.25">
      <c r="A42">
        <v>117.47</v>
      </c>
      <c r="B42">
        <v>115.64</v>
      </c>
      <c r="C42">
        <v>128.75</v>
      </c>
      <c r="D42">
        <v>138.88</v>
      </c>
    </row>
    <row r="43" spans="1:4" x14ac:dyDescent="0.25">
      <c r="A43">
        <v>117.47</v>
      </c>
      <c r="B43">
        <v>115.64</v>
      </c>
      <c r="C43">
        <v>129.52000000000001</v>
      </c>
      <c r="D43">
        <v>138.88</v>
      </c>
    </row>
    <row r="44" spans="1:4" x14ac:dyDescent="0.25">
      <c r="A44">
        <v>116.86</v>
      </c>
      <c r="B44">
        <v>115.59</v>
      </c>
      <c r="C44">
        <v>129.52000000000001</v>
      </c>
      <c r="D44">
        <v>140.76</v>
      </c>
    </row>
    <row r="45" spans="1:4" x14ac:dyDescent="0.25">
      <c r="A45">
        <v>116.86</v>
      </c>
      <c r="B45">
        <v>115.59</v>
      </c>
      <c r="C45">
        <v>131.58000000000001</v>
      </c>
      <c r="D45">
        <v>149.1</v>
      </c>
    </row>
    <row r="46" spans="1:4" x14ac:dyDescent="0.25">
      <c r="A46">
        <v>119.77</v>
      </c>
      <c r="B46">
        <v>118.1</v>
      </c>
      <c r="C46">
        <v>131.58000000000001</v>
      </c>
      <c r="D46">
        <v>149.1</v>
      </c>
    </row>
    <row r="47" spans="1:4" x14ac:dyDescent="0.25">
      <c r="A47">
        <v>129.83000000000001</v>
      </c>
      <c r="B47">
        <v>118.1</v>
      </c>
      <c r="C47">
        <v>131.55000000000001</v>
      </c>
      <c r="D47">
        <v>138.94</v>
      </c>
    </row>
    <row r="48" spans="1:4" x14ac:dyDescent="0.25">
      <c r="A48">
        <v>129.83000000000001</v>
      </c>
      <c r="B48">
        <v>117.94</v>
      </c>
      <c r="C48">
        <v>131.55000000000001</v>
      </c>
      <c r="D48">
        <v>138.94</v>
      </c>
    </row>
    <row r="49" spans="1:4" x14ac:dyDescent="0.25">
      <c r="A49">
        <v>112.23</v>
      </c>
      <c r="B49">
        <v>117.94</v>
      </c>
      <c r="C49">
        <v>130.04</v>
      </c>
      <c r="D49">
        <v>145.37</v>
      </c>
    </row>
    <row r="50" spans="1:4" x14ac:dyDescent="0.25">
      <c r="A50">
        <v>112.23</v>
      </c>
      <c r="B50">
        <v>126.6</v>
      </c>
      <c r="C50">
        <v>130.04</v>
      </c>
      <c r="D50">
        <v>145.37</v>
      </c>
    </row>
    <row r="51" spans="1:4" x14ac:dyDescent="0.25">
      <c r="A51">
        <v>113.77</v>
      </c>
      <c r="B51">
        <v>126.6</v>
      </c>
      <c r="C51">
        <v>132.66999999999999</v>
      </c>
      <c r="D51">
        <v>148.66999999999999</v>
      </c>
    </row>
    <row r="52" spans="1:4" x14ac:dyDescent="0.25">
      <c r="A52">
        <v>113.77</v>
      </c>
      <c r="B52">
        <v>120.31</v>
      </c>
      <c r="C52">
        <v>132.66999999999999</v>
      </c>
      <c r="D52">
        <v>148.66999999999999</v>
      </c>
    </row>
    <row r="53" spans="1:4" x14ac:dyDescent="0.25">
      <c r="A53">
        <v>125.22</v>
      </c>
      <c r="B53">
        <v>120.31</v>
      </c>
      <c r="C53">
        <v>133.11000000000001</v>
      </c>
      <c r="D53">
        <v>139</v>
      </c>
    </row>
    <row r="54" spans="1:4" x14ac:dyDescent="0.25">
      <c r="A54">
        <v>125.22</v>
      </c>
      <c r="B54">
        <v>120.61</v>
      </c>
      <c r="C54">
        <v>133.11000000000001</v>
      </c>
      <c r="D54">
        <v>139</v>
      </c>
    </row>
    <row r="55" spans="1:4" x14ac:dyDescent="0.25">
      <c r="A55">
        <v>113.22</v>
      </c>
      <c r="B55">
        <v>120.61</v>
      </c>
      <c r="C55">
        <v>131.47999999999999</v>
      </c>
      <c r="D55">
        <v>139.57</v>
      </c>
    </row>
    <row r="56" spans="1:4" x14ac:dyDescent="0.25">
      <c r="A56">
        <v>113.22</v>
      </c>
      <c r="B56">
        <v>116.65</v>
      </c>
      <c r="C56">
        <v>131.47999999999999</v>
      </c>
      <c r="D56">
        <v>139.57</v>
      </c>
    </row>
    <row r="57" spans="1:4" x14ac:dyDescent="0.25">
      <c r="A57">
        <v>136.91</v>
      </c>
      <c r="B57">
        <v>116.65</v>
      </c>
      <c r="C57">
        <v>131.18</v>
      </c>
      <c r="D57">
        <v>146.52000000000001</v>
      </c>
    </row>
    <row r="58" spans="1:4" x14ac:dyDescent="0.25">
      <c r="A58">
        <v>136.91</v>
      </c>
      <c r="B58">
        <v>120.77</v>
      </c>
      <c r="C58">
        <v>131.18</v>
      </c>
      <c r="D58">
        <v>146.52000000000001</v>
      </c>
    </row>
    <row r="59" spans="1:4" x14ac:dyDescent="0.25">
      <c r="A59">
        <v>118.77</v>
      </c>
      <c r="B59">
        <v>120.77</v>
      </c>
      <c r="C59">
        <v>132.72999999999999</v>
      </c>
      <c r="D59">
        <v>140.22999999999999</v>
      </c>
    </row>
    <row r="60" spans="1:4" x14ac:dyDescent="0.25">
      <c r="A60">
        <v>118.77</v>
      </c>
      <c r="B60">
        <v>118.72</v>
      </c>
      <c r="C60">
        <v>132.72999999999999</v>
      </c>
      <c r="D60">
        <v>140.22999999999999</v>
      </c>
    </row>
    <row r="61" spans="1:4" x14ac:dyDescent="0.25">
      <c r="A61">
        <v>119.44</v>
      </c>
      <c r="B61">
        <v>118.72</v>
      </c>
      <c r="C61">
        <v>129.36000000000001</v>
      </c>
      <c r="D61">
        <v>141.91</v>
      </c>
    </row>
    <row r="62" spans="1:4" x14ac:dyDescent="0.25">
      <c r="A62">
        <v>119.44</v>
      </c>
      <c r="B62">
        <v>116.85</v>
      </c>
      <c r="C62">
        <v>129.36000000000001</v>
      </c>
      <c r="D62">
        <v>141.91</v>
      </c>
    </row>
    <row r="63" spans="1:4" x14ac:dyDescent="0.25">
      <c r="A63">
        <v>126.49</v>
      </c>
      <c r="B63">
        <v>116.85</v>
      </c>
      <c r="C63">
        <v>129.66999999999999</v>
      </c>
      <c r="D63">
        <v>145.76</v>
      </c>
    </row>
    <row r="64" spans="1:4" x14ac:dyDescent="0.25">
      <c r="A64">
        <v>126.49</v>
      </c>
      <c r="B64">
        <v>116.75</v>
      </c>
      <c r="C64">
        <v>129.66999999999999</v>
      </c>
      <c r="D64">
        <v>145.76</v>
      </c>
    </row>
    <row r="65" spans="1:4" x14ac:dyDescent="0.25">
      <c r="A65">
        <v>119.68</v>
      </c>
      <c r="B65">
        <v>116.75</v>
      </c>
      <c r="C65">
        <v>131.94999999999999</v>
      </c>
      <c r="D65">
        <v>139.28</v>
      </c>
    </row>
    <row r="66" spans="1:4" x14ac:dyDescent="0.25">
      <c r="A66">
        <v>119.68</v>
      </c>
      <c r="B66">
        <v>117.99</v>
      </c>
      <c r="C66">
        <v>131.94999999999999</v>
      </c>
      <c r="D66">
        <v>139.28</v>
      </c>
    </row>
    <row r="67" spans="1:4" x14ac:dyDescent="0.25">
      <c r="A67">
        <v>133.47999999999999</v>
      </c>
      <c r="B67">
        <v>117.99</v>
      </c>
      <c r="C67">
        <v>128.94</v>
      </c>
      <c r="D67">
        <v>139.9</v>
      </c>
    </row>
    <row r="68" spans="1:4" x14ac:dyDescent="0.25">
      <c r="A68">
        <v>133.47999999999999</v>
      </c>
      <c r="B68">
        <v>117.66</v>
      </c>
      <c r="C68">
        <v>128.94</v>
      </c>
      <c r="D68">
        <v>139.9</v>
      </c>
    </row>
    <row r="69" spans="1:4" x14ac:dyDescent="0.25">
      <c r="A69">
        <v>114.86</v>
      </c>
      <c r="B69">
        <v>117.66</v>
      </c>
      <c r="C69">
        <v>138.21</v>
      </c>
      <c r="D69">
        <v>148.54</v>
      </c>
    </row>
    <row r="70" spans="1:4" x14ac:dyDescent="0.25">
      <c r="A70">
        <v>114.86</v>
      </c>
      <c r="B70">
        <v>132.62</v>
      </c>
      <c r="C70">
        <v>138.21</v>
      </c>
      <c r="D70">
        <v>148.54</v>
      </c>
    </row>
    <row r="71" spans="1:4" x14ac:dyDescent="0.25">
      <c r="A71">
        <v>114.32</v>
      </c>
      <c r="B71">
        <v>132.62</v>
      </c>
      <c r="C71">
        <v>136.54</v>
      </c>
      <c r="D71">
        <v>139.22</v>
      </c>
    </row>
    <row r="72" spans="1:4" x14ac:dyDescent="0.25">
      <c r="A72">
        <v>114.32</v>
      </c>
      <c r="B72">
        <v>121.91</v>
      </c>
      <c r="C72">
        <v>136.54</v>
      </c>
      <c r="D72">
        <v>139.22</v>
      </c>
    </row>
    <row r="73" spans="1:4" x14ac:dyDescent="0.25">
      <c r="A73">
        <v>117.74</v>
      </c>
      <c r="B73">
        <v>121.91</v>
      </c>
      <c r="C73">
        <v>129.88</v>
      </c>
      <c r="D73">
        <v>140.82</v>
      </c>
    </row>
    <row r="74" spans="1:4" x14ac:dyDescent="0.25">
      <c r="A74">
        <v>117.74</v>
      </c>
      <c r="B74">
        <v>116.16</v>
      </c>
      <c r="C74">
        <v>129.88</v>
      </c>
      <c r="D74">
        <v>140.82</v>
      </c>
    </row>
    <row r="75" spans="1:4" x14ac:dyDescent="0.25">
      <c r="A75">
        <v>114.28</v>
      </c>
      <c r="B75">
        <v>116.16</v>
      </c>
      <c r="C75">
        <v>130.77000000000001</v>
      </c>
      <c r="D75">
        <v>150.22999999999999</v>
      </c>
    </row>
    <row r="76" spans="1:4" x14ac:dyDescent="0.25">
      <c r="A76">
        <v>114.28</v>
      </c>
      <c r="B76">
        <v>118.84</v>
      </c>
      <c r="C76">
        <v>130.77000000000001</v>
      </c>
      <c r="D76">
        <v>150.22999999999999</v>
      </c>
    </row>
    <row r="77" spans="1:4" x14ac:dyDescent="0.25">
      <c r="A77">
        <v>118.5</v>
      </c>
      <c r="B77">
        <v>118.84</v>
      </c>
      <c r="C77">
        <v>132.47999999999999</v>
      </c>
      <c r="D77">
        <v>140.15</v>
      </c>
    </row>
    <row r="78" spans="1:4" x14ac:dyDescent="0.25">
      <c r="A78">
        <v>118.5</v>
      </c>
      <c r="B78">
        <v>118.98</v>
      </c>
      <c r="C78">
        <v>132.47999999999999</v>
      </c>
      <c r="D78">
        <v>140.15</v>
      </c>
    </row>
    <row r="79" spans="1:4" x14ac:dyDescent="0.25">
      <c r="A79">
        <v>125.37</v>
      </c>
      <c r="B79">
        <v>118.98</v>
      </c>
      <c r="C79">
        <v>132.94999999999999</v>
      </c>
      <c r="D79">
        <v>139.79</v>
      </c>
    </row>
    <row r="80" spans="1:4" x14ac:dyDescent="0.25">
      <c r="A80">
        <v>125.37</v>
      </c>
      <c r="B80">
        <v>125.97</v>
      </c>
      <c r="C80">
        <v>132.94999999999999</v>
      </c>
      <c r="D80">
        <v>139.79</v>
      </c>
    </row>
    <row r="81" spans="1:4" x14ac:dyDescent="0.25">
      <c r="A81">
        <v>118.77</v>
      </c>
      <c r="B81">
        <v>125.97</v>
      </c>
      <c r="C81">
        <v>131.37</v>
      </c>
      <c r="D81">
        <v>145.07</v>
      </c>
    </row>
    <row r="82" spans="1:4" x14ac:dyDescent="0.25">
      <c r="A82">
        <v>118.77</v>
      </c>
      <c r="B82">
        <v>121.2</v>
      </c>
      <c r="C82">
        <v>131.37</v>
      </c>
      <c r="D82">
        <v>145.07</v>
      </c>
    </row>
    <row r="83" spans="1:4" x14ac:dyDescent="0.25">
      <c r="A83">
        <v>115.12</v>
      </c>
      <c r="B83">
        <v>121.2</v>
      </c>
      <c r="C83">
        <v>133.12</v>
      </c>
      <c r="D83">
        <v>139.63</v>
      </c>
    </row>
    <row r="84" spans="1:4" x14ac:dyDescent="0.25">
      <c r="A84">
        <v>115.12</v>
      </c>
      <c r="B84">
        <v>116.46</v>
      </c>
      <c r="C84">
        <v>133.12</v>
      </c>
      <c r="D84">
        <v>139.63</v>
      </c>
    </row>
    <row r="85" spans="1:4" x14ac:dyDescent="0.25">
      <c r="A85">
        <v>116.14</v>
      </c>
      <c r="B85">
        <v>116.46</v>
      </c>
      <c r="C85">
        <v>130.72</v>
      </c>
      <c r="D85">
        <v>141.72999999999999</v>
      </c>
    </row>
    <row r="86" spans="1:4" x14ac:dyDescent="0.25">
      <c r="A86">
        <v>116.14</v>
      </c>
      <c r="B86">
        <v>117.5</v>
      </c>
      <c r="C86">
        <v>130.72</v>
      </c>
      <c r="D86">
        <v>141.72999999999999</v>
      </c>
    </row>
    <row r="87" spans="1:4" x14ac:dyDescent="0.25">
      <c r="A87">
        <v>116.4</v>
      </c>
      <c r="B87">
        <v>117.5</v>
      </c>
      <c r="C87">
        <v>136.25</v>
      </c>
      <c r="D87">
        <v>147.15</v>
      </c>
    </row>
    <row r="88" spans="1:4" x14ac:dyDescent="0.25">
      <c r="A88">
        <v>116.4</v>
      </c>
      <c r="B88">
        <v>125.75</v>
      </c>
      <c r="C88">
        <v>136.25</v>
      </c>
      <c r="D88">
        <v>147.15</v>
      </c>
    </row>
    <row r="89" spans="1:4" x14ac:dyDescent="0.25">
      <c r="A89">
        <v>114.97</v>
      </c>
      <c r="B89">
        <v>125.75</v>
      </c>
      <c r="C89">
        <v>139.38</v>
      </c>
      <c r="D89">
        <v>140.71</v>
      </c>
    </row>
    <row r="90" spans="1:4" x14ac:dyDescent="0.25">
      <c r="A90">
        <v>114.97</v>
      </c>
      <c r="B90">
        <v>130.12</v>
      </c>
      <c r="C90">
        <v>139.38</v>
      </c>
      <c r="D90">
        <v>140.71</v>
      </c>
    </row>
    <row r="91" spans="1:4" x14ac:dyDescent="0.25">
      <c r="A91">
        <v>120.25</v>
      </c>
      <c r="B91">
        <v>130.12</v>
      </c>
      <c r="C91">
        <v>127.78</v>
      </c>
      <c r="D91">
        <v>139.91999999999999</v>
      </c>
    </row>
    <row r="92" spans="1:4" x14ac:dyDescent="0.25">
      <c r="A92">
        <v>120.25</v>
      </c>
      <c r="B92">
        <v>117.18</v>
      </c>
      <c r="C92">
        <v>127.78</v>
      </c>
      <c r="D92">
        <v>139.91999999999999</v>
      </c>
    </row>
    <row r="93" spans="1:4" x14ac:dyDescent="0.25">
      <c r="A93">
        <v>115.47</v>
      </c>
      <c r="B93">
        <v>117.18</v>
      </c>
      <c r="C93">
        <v>131.36000000000001</v>
      </c>
      <c r="D93">
        <v>150.16999999999999</v>
      </c>
    </row>
    <row r="94" spans="1:4" x14ac:dyDescent="0.25">
      <c r="A94">
        <v>115.47</v>
      </c>
      <c r="B94">
        <v>119.79</v>
      </c>
      <c r="C94">
        <v>131.36000000000001</v>
      </c>
      <c r="D94">
        <v>150.16999999999999</v>
      </c>
    </row>
    <row r="95" spans="1:4" x14ac:dyDescent="0.25">
      <c r="A95">
        <v>114.51</v>
      </c>
      <c r="B95">
        <v>119.79</v>
      </c>
      <c r="C95">
        <v>131.80000000000001</v>
      </c>
      <c r="D95">
        <v>139.49</v>
      </c>
    </row>
    <row r="96" spans="1:4" x14ac:dyDescent="0.25">
      <c r="A96">
        <v>114.51</v>
      </c>
      <c r="B96">
        <v>118.2</v>
      </c>
      <c r="C96">
        <v>130.21</v>
      </c>
      <c r="D96">
        <v>139.49</v>
      </c>
    </row>
    <row r="97" spans="1:4" x14ac:dyDescent="0.25">
      <c r="A97">
        <v>133.76</v>
      </c>
      <c r="B97">
        <v>117.64</v>
      </c>
      <c r="C97">
        <v>130.21</v>
      </c>
      <c r="D97">
        <v>141.53</v>
      </c>
    </row>
    <row r="98" spans="1:4" x14ac:dyDescent="0.25">
      <c r="A98">
        <v>133.76</v>
      </c>
      <c r="B98">
        <v>117.64</v>
      </c>
      <c r="C98">
        <v>130.21</v>
      </c>
      <c r="D98">
        <v>141.53</v>
      </c>
    </row>
    <row r="99" spans="1:4" x14ac:dyDescent="0.25">
      <c r="A99">
        <v>121.43</v>
      </c>
      <c r="B99">
        <v>117.64</v>
      </c>
      <c r="C99">
        <v>130.41999999999999</v>
      </c>
      <c r="D99">
        <v>145.44</v>
      </c>
    </row>
    <row r="100" spans="1:4" x14ac:dyDescent="0.25">
      <c r="A100">
        <v>121.43</v>
      </c>
      <c r="B100">
        <v>120.35</v>
      </c>
      <c r="C100">
        <v>130.91999999999999</v>
      </c>
      <c r="D100">
        <v>145.44</v>
      </c>
    </row>
    <row r="101" spans="1:4" x14ac:dyDescent="0.25">
      <c r="A101">
        <v>114.43</v>
      </c>
      <c r="B101">
        <v>120.35</v>
      </c>
      <c r="C101">
        <v>130.91999999999999</v>
      </c>
      <c r="D101">
        <v>143.68</v>
      </c>
    </row>
    <row r="102" spans="1:4" x14ac:dyDescent="0.25">
      <c r="A102">
        <v>114.43</v>
      </c>
      <c r="B102">
        <v>124.05</v>
      </c>
      <c r="C102">
        <v>136.15</v>
      </c>
      <c r="D102">
        <v>143.68</v>
      </c>
    </row>
    <row r="103" spans="1:4" x14ac:dyDescent="0.25">
      <c r="A103">
        <v>117</v>
      </c>
      <c r="B103">
        <v>124.22</v>
      </c>
      <c r="C103">
        <v>136.15</v>
      </c>
      <c r="D103">
        <v>141.58000000000001</v>
      </c>
    </row>
    <row r="104" spans="1:4" x14ac:dyDescent="0.25">
      <c r="A104">
        <v>117</v>
      </c>
      <c r="B104">
        <v>124.22</v>
      </c>
      <c r="C104">
        <v>130.88999999999999</v>
      </c>
      <c r="D104">
        <v>141.58000000000001</v>
      </c>
    </row>
    <row r="105" spans="1:4" x14ac:dyDescent="0.25">
      <c r="A105">
        <v>115.28</v>
      </c>
      <c r="B105">
        <v>118.94</v>
      </c>
      <c r="C105">
        <v>130.88999999999999</v>
      </c>
      <c r="D105">
        <v>147.99</v>
      </c>
    </row>
    <row r="106" spans="1:4" x14ac:dyDescent="0.25">
      <c r="A106">
        <v>115.28</v>
      </c>
      <c r="B106">
        <v>118.94</v>
      </c>
      <c r="C106">
        <v>129.57</v>
      </c>
      <c r="D106">
        <v>147.99</v>
      </c>
    </row>
    <row r="107" spans="1:4" x14ac:dyDescent="0.25">
      <c r="A107">
        <v>123.85</v>
      </c>
      <c r="B107">
        <v>117.91</v>
      </c>
      <c r="C107">
        <v>129.57</v>
      </c>
      <c r="D107">
        <v>151.41</v>
      </c>
    </row>
    <row r="108" spans="1:4" x14ac:dyDescent="0.25">
      <c r="A108">
        <v>123.85</v>
      </c>
      <c r="B108">
        <v>117.91</v>
      </c>
      <c r="C108">
        <v>130.31</v>
      </c>
      <c r="D108">
        <v>151.41</v>
      </c>
    </row>
    <row r="109" spans="1:4" x14ac:dyDescent="0.25">
      <c r="A109">
        <v>117.38</v>
      </c>
      <c r="B109">
        <v>117.94</v>
      </c>
      <c r="C109">
        <v>130.31</v>
      </c>
      <c r="D109">
        <v>141.66</v>
      </c>
    </row>
    <row r="110" spans="1:4" x14ac:dyDescent="0.25">
      <c r="A110">
        <v>117.38</v>
      </c>
      <c r="B110">
        <v>117.94</v>
      </c>
      <c r="C110">
        <v>132.02000000000001</v>
      </c>
      <c r="D110">
        <v>141.66</v>
      </c>
    </row>
    <row r="111" spans="1:4" x14ac:dyDescent="0.25">
      <c r="A111">
        <v>114.14</v>
      </c>
      <c r="B111">
        <v>122.88</v>
      </c>
      <c r="C111">
        <v>132.02000000000001</v>
      </c>
      <c r="D111">
        <v>141.9</v>
      </c>
    </row>
    <row r="112" spans="1:4" x14ac:dyDescent="0.25">
      <c r="A112">
        <v>114.14</v>
      </c>
      <c r="B112">
        <v>122.88</v>
      </c>
      <c r="C112">
        <v>129.21</v>
      </c>
      <c r="D112">
        <v>141.9</v>
      </c>
    </row>
    <row r="113" spans="1:4" x14ac:dyDescent="0.25">
      <c r="A113">
        <v>121.7</v>
      </c>
      <c r="B113">
        <v>120.25</v>
      </c>
      <c r="C113">
        <v>129.21</v>
      </c>
      <c r="D113">
        <v>140.22</v>
      </c>
    </row>
    <row r="114" spans="1:4" x14ac:dyDescent="0.25">
      <c r="A114">
        <v>121.7</v>
      </c>
      <c r="B114">
        <v>120.25</v>
      </c>
      <c r="C114">
        <v>133.88</v>
      </c>
      <c r="D114">
        <v>140.22</v>
      </c>
    </row>
    <row r="115" spans="1:4" x14ac:dyDescent="0.25">
      <c r="A115">
        <v>117</v>
      </c>
      <c r="B115">
        <v>119.32</v>
      </c>
      <c r="C115">
        <v>133.88</v>
      </c>
      <c r="D115">
        <v>141.19</v>
      </c>
    </row>
    <row r="116" spans="1:4" x14ac:dyDescent="0.25">
      <c r="A116">
        <v>117</v>
      </c>
      <c r="B116">
        <v>119.32</v>
      </c>
      <c r="C116">
        <v>129.72</v>
      </c>
      <c r="D116">
        <v>141.19</v>
      </c>
    </row>
    <row r="117" spans="1:4" x14ac:dyDescent="0.25">
      <c r="A117">
        <v>122.4</v>
      </c>
      <c r="B117">
        <v>119.08</v>
      </c>
      <c r="C117">
        <v>129.72</v>
      </c>
      <c r="D117">
        <v>144.91</v>
      </c>
    </row>
    <row r="118" spans="1:4" x14ac:dyDescent="0.25">
      <c r="A118">
        <v>122.4</v>
      </c>
      <c r="B118">
        <v>119.08</v>
      </c>
      <c r="C118">
        <v>132.22</v>
      </c>
      <c r="D118">
        <v>144.91</v>
      </c>
    </row>
    <row r="119" spans="1:4" x14ac:dyDescent="0.25">
      <c r="A119">
        <v>114.9</v>
      </c>
      <c r="B119">
        <v>124.5</v>
      </c>
      <c r="C119">
        <v>132.22</v>
      </c>
      <c r="D119">
        <v>144.08000000000001</v>
      </c>
    </row>
    <row r="120" spans="1:4" x14ac:dyDescent="0.25">
      <c r="A120">
        <v>114.9</v>
      </c>
      <c r="B120">
        <v>124.5</v>
      </c>
      <c r="C120">
        <v>136.75</v>
      </c>
      <c r="D120">
        <v>144.08000000000001</v>
      </c>
    </row>
    <row r="121" spans="1:4" x14ac:dyDescent="0.25">
      <c r="A121">
        <v>121.72</v>
      </c>
      <c r="B121">
        <v>123.05</v>
      </c>
      <c r="C121">
        <v>136.75</v>
      </c>
      <c r="D121">
        <v>141.53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573-4C06-BC4D-BFF2-025535BCD224}">
  <dimension ref="A1:J129"/>
  <sheetViews>
    <sheetView zoomScale="109" workbookViewId="0">
      <selection activeCell="F13" sqref="F13"/>
    </sheetView>
  </sheetViews>
  <sheetFormatPr baseColWidth="10" defaultRowHeight="15.75" x14ac:dyDescent="0.25"/>
  <cols>
    <col min="9" max="9" width="14.125" bestFit="1" customWidth="1"/>
    <col min="10" max="10" width="16" bestFit="1" customWidth="1"/>
  </cols>
  <sheetData>
    <row r="1" spans="1:10" x14ac:dyDescent="0.25">
      <c r="A1" t="s">
        <v>13</v>
      </c>
      <c r="B1" t="s">
        <v>12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29</v>
      </c>
      <c r="J1" t="s">
        <v>28</v>
      </c>
    </row>
    <row r="2" spans="1:10" x14ac:dyDescent="0.25">
      <c r="A2">
        <v>121.47</v>
      </c>
      <c r="B2">
        <v>129.51</v>
      </c>
      <c r="C2">
        <v>127.31</v>
      </c>
      <c r="D2">
        <v>118.08</v>
      </c>
      <c r="E2">
        <v>118.69</v>
      </c>
      <c r="F2" t="s">
        <v>1</v>
      </c>
      <c r="G2">
        <f>AVERAGE(A:A)</f>
        <v>122.49222222222225</v>
      </c>
      <c r="H2">
        <v>18</v>
      </c>
      <c r="I2">
        <f t="shared" ref="I2:I6" si="0">G2-H2</f>
        <v>104.49222222222225</v>
      </c>
      <c r="J2">
        <f>13+I2</f>
        <v>117.49222222222225</v>
      </c>
    </row>
    <row r="3" spans="1:10" x14ac:dyDescent="0.25">
      <c r="A3">
        <v>121.47</v>
      </c>
      <c r="B3">
        <v>115.68</v>
      </c>
      <c r="C3">
        <v>127.31</v>
      </c>
      <c r="D3">
        <v>118.08</v>
      </c>
      <c r="E3">
        <v>118.69</v>
      </c>
      <c r="F3" t="s">
        <v>3</v>
      </c>
      <c r="G3">
        <f>AVERAGE(B:B)</f>
        <v>122.67890625000005</v>
      </c>
      <c r="H3">
        <v>19</v>
      </c>
      <c r="I3">
        <f t="shared" si="0"/>
        <v>103.67890625000005</v>
      </c>
      <c r="J3">
        <f t="shared" ref="J3:J6" si="1">13+I3</f>
        <v>116.67890625000005</v>
      </c>
    </row>
    <row r="4" spans="1:10" x14ac:dyDescent="0.25">
      <c r="A4">
        <v>113.12</v>
      </c>
      <c r="B4">
        <v>115.68</v>
      </c>
      <c r="C4">
        <v>117.67</v>
      </c>
      <c r="D4">
        <v>135.32</v>
      </c>
      <c r="E4">
        <v>149.66</v>
      </c>
      <c r="F4" t="s">
        <v>2</v>
      </c>
      <c r="G4">
        <f>AVERAGE(C:C)</f>
        <v>123.08601562499997</v>
      </c>
      <c r="H4">
        <v>19</v>
      </c>
      <c r="I4">
        <f t="shared" si="0"/>
        <v>104.08601562499997</v>
      </c>
      <c r="J4">
        <f t="shared" si="1"/>
        <v>117.08601562499997</v>
      </c>
    </row>
    <row r="5" spans="1:10" x14ac:dyDescent="0.25">
      <c r="A5">
        <v>113.12</v>
      </c>
      <c r="B5">
        <v>126.21</v>
      </c>
      <c r="C5">
        <v>117.67</v>
      </c>
      <c r="D5">
        <v>135.32</v>
      </c>
      <c r="E5">
        <v>149.66</v>
      </c>
      <c r="F5" t="s">
        <v>4</v>
      </c>
      <c r="G5">
        <f>AVERAGE(D:D)</f>
        <v>123.66327731092439</v>
      </c>
      <c r="H5">
        <v>20</v>
      </c>
      <c r="I5">
        <f t="shared" si="0"/>
        <v>103.66327731092439</v>
      </c>
      <c r="J5">
        <f t="shared" si="1"/>
        <v>116.66327731092439</v>
      </c>
    </row>
    <row r="6" spans="1:10" x14ac:dyDescent="0.25">
      <c r="A6">
        <v>127.57</v>
      </c>
      <c r="B6">
        <v>126.21</v>
      </c>
      <c r="C6">
        <v>120.2</v>
      </c>
      <c r="D6">
        <v>133.71</v>
      </c>
      <c r="E6">
        <v>123.96</v>
      </c>
      <c r="F6" t="s">
        <v>5</v>
      </c>
      <c r="G6">
        <f>AVERAGE(E:E)</f>
        <v>126.59999999999994</v>
      </c>
      <c r="H6">
        <f>AVERAGE(21,22)</f>
        <v>21.5</v>
      </c>
      <c r="I6">
        <f t="shared" si="0"/>
        <v>105.09999999999994</v>
      </c>
      <c r="J6">
        <f t="shared" si="1"/>
        <v>118.09999999999994</v>
      </c>
    </row>
    <row r="7" spans="1:10" x14ac:dyDescent="0.25">
      <c r="A7">
        <v>127.57</v>
      </c>
      <c r="B7">
        <v>123.99</v>
      </c>
      <c r="C7">
        <v>120.2</v>
      </c>
      <c r="D7">
        <v>133.71</v>
      </c>
      <c r="E7">
        <v>123.96</v>
      </c>
    </row>
    <row r="8" spans="1:10" x14ac:dyDescent="0.25">
      <c r="A8">
        <v>118.15</v>
      </c>
      <c r="B8">
        <v>123.99</v>
      </c>
      <c r="C8">
        <v>115.21</v>
      </c>
      <c r="D8">
        <v>118.29</v>
      </c>
      <c r="E8">
        <v>117.59</v>
      </c>
    </row>
    <row r="9" spans="1:10" x14ac:dyDescent="0.25">
      <c r="A9">
        <v>118.15</v>
      </c>
      <c r="B9">
        <v>118.2</v>
      </c>
      <c r="C9">
        <v>115.21</v>
      </c>
      <c r="D9">
        <v>118.29</v>
      </c>
      <c r="E9">
        <v>117.59</v>
      </c>
    </row>
    <row r="10" spans="1:10" x14ac:dyDescent="0.25">
      <c r="A10">
        <v>120.26</v>
      </c>
      <c r="B10">
        <v>118.2</v>
      </c>
      <c r="C10">
        <v>113.25</v>
      </c>
      <c r="D10">
        <v>116.46</v>
      </c>
      <c r="E10">
        <v>120.55</v>
      </c>
    </row>
    <row r="11" spans="1:10" x14ac:dyDescent="0.25">
      <c r="A11">
        <v>120.26</v>
      </c>
      <c r="B11">
        <v>114.9</v>
      </c>
      <c r="C11">
        <v>113.25</v>
      </c>
      <c r="D11">
        <v>116.46</v>
      </c>
      <c r="E11">
        <v>120.55</v>
      </c>
    </row>
    <row r="12" spans="1:10" x14ac:dyDescent="0.25">
      <c r="A12">
        <v>112.14</v>
      </c>
      <c r="B12">
        <v>114.9</v>
      </c>
      <c r="C12">
        <v>120.03</v>
      </c>
      <c r="D12">
        <v>126.83</v>
      </c>
      <c r="E12">
        <v>125.02</v>
      </c>
    </row>
    <row r="13" spans="1:10" x14ac:dyDescent="0.25">
      <c r="A13">
        <v>112.14</v>
      </c>
      <c r="B13">
        <v>125.33</v>
      </c>
      <c r="C13">
        <v>120.03</v>
      </c>
      <c r="D13">
        <v>126.83</v>
      </c>
      <c r="E13">
        <v>125.02</v>
      </c>
    </row>
    <row r="14" spans="1:10" x14ac:dyDescent="0.25">
      <c r="A14">
        <v>122.13</v>
      </c>
      <c r="B14">
        <v>125.33</v>
      </c>
      <c r="C14">
        <v>125.68</v>
      </c>
      <c r="D14">
        <v>132.49</v>
      </c>
      <c r="E14">
        <v>144.03</v>
      </c>
    </row>
    <row r="15" spans="1:10" x14ac:dyDescent="0.25">
      <c r="A15">
        <v>122.13</v>
      </c>
      <c r="B15">
        <v>132.81</v>
      </c>
      <c r="C15">
        <v>125.68</v>
      </c>
      <c r="D15">
        <v>132.49</v>
      </c>
      <c r="E15">
        <v>144.03</v>
      </c>
    </row>
    <row r="16" spans="1:10" x14ac:dyDescent="0.25">
      <c r="A16">
        <v>146.36000000000001</v>
      </c>
      <c r="B16">
        <v>132.81</v>
      </c>
      <c r="C16">
        <v>116.58</v>
      </c>
      <c r="D16">
        <v>131.26</v>
      </c>
      <c r="E16">
        <v>123.98</v>
      </c>
    </row>
    <row r="17" spans="1:5" x14ac:dyDescent="0.25">
      <c r="A17">
        <v>146.36000000000001</v>
      </c>
      <c r="B17">
        <v>119</v>
      </c>
      <c r="C17">
        <v>116.58</v>
      </c>
      <c r="D17">
        <v>131.26</v>
      </c>
      <c r="E17">
        <v>123.98</v>
      </c>
    </row>
    <row r="18" spans="1:5" x14ac:dyDescent="0.25">
      <c r="A18">
        <v>117.18</v>
      </c>
      <c r="B18">
        <v>119</v>
      </c>
      <c r="C18">
        <v>138.80000000000001</v>
      </c>
      <c r="D18">
        <v>117.47</v>
      </c>
      <c r="E18">
        <v>118.54</v>
      </c>
    </row>
    <row r="19" spans="1:5" x14ac:dyDescent="0.25">
      <c r="A19">
        <v>117.18</v>
      </c>
      <c r="B19">
        <v>116.2</v>
      </c>
      <c r="C19">
        <v>138.80000000000001</v>
      </c>
      <c r="D19">
        <v>117.47</v>
      </c>
      <c r="E19">
        <v>118.54</v>
      </c>
    </row>
    <row r="20" spans="1:5" x14ac:dyDescent="0.25">
      <c r="A20">
        <v>111.93</v>
      </c>
      <c r="B20">
        <v>116.2</v>
      </c>
      <c r="C20">
        <v>123.53</v>
      </c>
      <c r="D20">
        <v>118.18</v>
      </c>
      <c r="E20">
        <v>122.23</v>
      </c>
    </row>
    <row r="21" spans="1:5" x14ac:dyDescent="0.25">
      <c r="A21">
        <v>111.93</v>
      </c>
      <c r="B21">
        <v>125.24</v>
      </c>
      <c r="C21">
        <v>123.53</v>
      </c>
      <c r="D21">
        <v>118.18</v>
      </c>
      <c r="E21">
        <v>122.23</v>
      </c>
    </row>
    <row r="22" spans="1:5" x14ac:dyDescent="0.25">
      <c r="A22">
        <v>118.11</v>
      </c>
      <c r="B22">
        <v>125.24</v>
      </c>
      <c r="C22">
        <v>117.44</v>
      </c>
      <c r="D22">
        <v>116.77</v>
      </c>
      <c r="E22">
        <v>125.12</v>
      </c>
    </row>
    <row r="23" spans="1:5" x14ac:dyDescent="0.25">
      <c r="A23">
        <v>118.11</v>
      </c>
      <c r="B23">
        <v>114.32</v>
      </c>
      <c r="C23">
        <v>117.44</v>
      </c>
      <c r="D23">
        <v>116.77</v>
      </c>
      <c r="E23">
        <v>125.12</v>
      </c>
    </row>
    <row r="24" spans="1:5" x14ac:dyDescent="0.25">
      <c r="A24">
        <v>111.42</v>
      </c>
      <c r="B24">
        <v>114.32</v>
      </c>
      <c r="C24">
        <v>116.17</v>
      </c>
      <c r="D24">
        <v>135.80000000000001</v>
      </c>
      <c r="E24">
        <v>150.77000000000001</v>
      </c>
    </row>
    <row r="25" spans="1:5" x14ac:dyDescent="0.25">
      <c r="A25">
        <v>111.42</v>
      </c>
      <c r="B25">
        <v>132.46</v>
      </c>
      <c r="C25">
        <v>116.17</v>
      </c>
      <c r="D25">
        <v>135.80000000000001</v>
      </c>
      <c r="E25">
        <v>150.77000000000001</v>
      </c>
    </row>
    <row r="26" spans="1:5" x14ac:dyDescent="0.25">
      <c r="A26">
        <v>138.4</v>
      </c>
      <c r="B26">
        <v>132.46</v>
      </c>
      <c r="C26">
        <v>121.77</v>
      </c>
      <c r="D26">
        <v>116.66</v>
      </c>
      <c r="E26">
        <v>117.62</v>
      </c>
    </row>
    <row r="27" spans="1:5" x14ac:dyDescent="0.25">
      <c r="A27">
        <v>138.4</v>
      </c>
      <c r="B27">
        <v>115.04</v>
      </c>
      <c r="C27">
        <v>121.77</v>
      </c>
      <c r="D27">
        <v>116.66</v>
      </c>
      <c r="E27">
        <v>117.62</v>
      </c>
    </row>
    <row r="28" spans="1:5" x14ac:dyDescent="0.25">
      <c r="A28">
        <v>136.6</v>
      </c>
      <c r="B28">
        <v>115.04</v>
      </c>
      <c r="C28">
        <v>140.62</v>
      </c>
      <c r="D28">
        <v>120.91</v>
      </c>
      <c r="E28">
        <v>127.77</v>
      </c>
    </row>
    <row r="29" spans="1:5" x14ac:dyDescent="0.25">
      <c r="A29">
        <v>136.6</v>
      </c>
      <c r="B29">
        <v>118.39</v>
      </c>
      <c r="C29">
        <v>140.62</v>
      </c>
      <c r="D29">
        <v>120.91</v>
      </c>
      <c r="E29">
        <v>127.77</v>
      </c>
    </row>
    <row r="30" spans="1:5" x14ac:dyDescent="0.25">
      <c r="A30">
        <v>118.39</v>
      </c>
      <c r="B30">
        <v>118.39</v>
      </c>
      <c r="C30">
        <v>114.33</v>
      </c>
      <c r="D30">
        <v>116.56</v>
      </c>
      <c r="E30">
        <v>125.44</v>
      </c>
    </row>
    <row r="31" spans="1:5" x14ac:dyDescent="0.25">
      <c r="A31">
        <v>118.39</v>
      </c>
      <c r="B31">
        <v>114.9</v>
      </c>
      <c r="C31">
        <v>114.33</v>
      </c>
      <c r="D31">
        <v>116.56</v>
      </c>
      <c r="E31">
        <v>125.44</v>
      </c>
    </row>
    <row r="32" spans="1:5" x14ac:dyDescent="0.25">
      <c r="A32">
        <v>111.97</v>
      </c>
      <c r="B32">
        <v>114.9</v>
      </c>
      <c r="C32">
        <v>129.12</v>
      </c>
      <c r="D32">
        <v>118.8</v>
      </c>
      <c r="E32">
        <v>117.78</v>
      </c>
    </row>
    <row r="33" spans="1:5" x14ac:dyDescent="0.25">
      <c r="A33">
        <v>111.97</v>
      </c>
      <c r="B33">
        <v>127.65</v>
      </c>
      <c r="C33">
        <v>129.12</v>
      </c>
      <c r="D33">
        <v>118.8</v>
      </c>
      <c r="E33">
        <v>117.78</v>
      </c>
    </row>
    <row r="34" spans="1:5" x14ac:dyDescent="0.25">
      <c r="A34">
        <v>114.85</v>
      </c>
      <c r="B34">
        <v>127.65</v>
      </c>
      <c r="C34">
        <v>113.31</v>
      </c>
      <c r="D34">
        <v>134.15</v>
      </c>
      <c r="E34">
        <v>132.68</v>
      </c>
    </row>
    <row r="35" spans="1:5" x14ac:dyDescent="0.25">
      <c r="A35">
        <v>114.85</v>
      </c>
      <c r="B35">
        <v>132.68</v>
      </c>
      <c r="C35">
        <v>113.31</v>
      </c>
      <c r="D35">
        <v>134.15</v>
      </c>
      <c r="E35">
        <v>132.68</v>
      </c>
    </row>
    <row r="36" spans="1:5" x14ac:dyDescent="0.25">
      <c r="A36">
        <v>138.99</v>
      </c>
      <c r="B36">
        <v>132.68</v>
      </c>
      <c r="C36">
        <v>117.71</v>
      </c>
      <c r="D36">
        <v>120.94</v>
      </c>
      <c r="E36">
        <v>132.97999999999999</v>
      </c>
    </row>
    <row r="37" spans="1:5" x14ac:dyDescent="0.25">
      <c r="A37">
        <v>138.99</v>
      </c>
      <c r="B37">
        <v>119.43</v>
      </c>
      <c r="C37">
        <v>117.71</v>
      </c>
      <c r="D37">
        <v>120.94</v>
      </c>
      <c r="E37">
        <v>132.97999999999999</v>
      </c>
    </row>
    <row r="38" spans="1:5" x14ac:dyDescent="0.25">
      <c r="A38">
        <v>131.13999999999999</v>
      </c>
      <c r="B38">
        <v>119.43</v>
      </c>
      <c r="C38">
        <v>145.56</v>
      </c>
      <c r="D38">
        <v>114.86</v>
      </c>
      <c r="E38">
        <v>117.48</v>
      </c>
    </row>
    <row r="39" spans="1:5" x14ac:dyDescent="0.25">
      <c r="A39">
        <v>131.13999999999999</v>
      </c>
      <c r="B39">
        <v>122.31</v>
      </c>
      <c r="C39">
        <v>145.56</v>
      </c>
      <c r="D39">
        <v>114.86</v>
      </c>
      <c r="E39">
        <v>117.48</v>
      </c>
    </row>
    <row r="40" spans="1:5" x14ac:dyDescent="0.25">
      <c r="A40">
        <v>115.02</v>
      </c>
      <c r="B40">
        <v>122.31</v>
      </c>
      <c r="C40">
        <v>112.69</v>
      </c>
      <c r="D40">
        <v>118.25</v>
      </c>
      <c r="E40">
        <v>118.93</v>
      </c>
    </row>
    <row r="41" spans="1:5" x14ac:dyDescent="0.25">
      <c r="A41">
        <v>115.02</v>
      </c>
      <c r="B41">
        <v>114.3</v>
      </c>
      <c r="C41">
        <v>116.4</v>
      </c>
      <c r="D41">
        <v>118.25</v>
      </c>
      <c r="E41">
        <v>118.93</v>
      </c>
    </row>
    <row r="42" spans="1:5" x14ac:dyDescent="0.25">
      <c r="A42">
        <v>116.59</v>
      </c>
      <c r="B42">
        <v>114.3</v>
      </c>
      <c r="C42">
        <v>116.4</v>
      </c>
      <c r="D42">
        <v>117.74</v>
      </c>
      <c r="E42">
        <v>123.53</v>
      </c>
    </row>
    <row r="43" spans="1:5" x14ac:dyDescent="0.25">
      <c r="A43">
        <v>116.59</v>
      </c>
      <c r="B43">
        <v>118.12</v>
      </c>
      <c r="C43">
        <v>122</v>
      </c>
      <c r="D43">
        <v>117.74</v>
      </c>
      <c r="E43">
        <v>123.53</v>
      </c>
    </row>
    <row r="44" spans="1:5" x14ac:dyDescent="0.25">
      <c r="A44">
        <v>109.49</v>
      </c>
      <c r="B44">
        <v>118.12</v>
      </c>
      <c r="C44">
        <v>122</v>
      </c>
      <c r="D44">
        <v>153.09</v>
      </c>
      <c r="E44">
        <v>130.38999999999999</v>
      </c>
    </row>
    <row r="45" spans="1:5" x14ac:dyDescent="0.25">
      <c r="A45">
        <v>109.49</v>
      </c>
      <c r="B45">
        <v>145.74</v>
      </c>
      <c r="C45">
        <v>135.13999999999999</v>
      </c>
      <c r="D45">
        <v>153.09</v>
      </c>
      <c r="E45">
        <v>130.38999999999999</v>
      </c>
    </row>
    <row r="46" spans="1:5" x14ac:dyDescent="0.25">
      <c r="A46">
        <v>150.25</v>
      </c>
      <c r="B46">
        <v>145.74</v>
      </c>
      <c r="C46">
        <v>135.13999999999999</v>
      </c>
      <c r="D46">
        <v>125.35</v>
      </c>
      <c r="E46">
        <v>125.8</v>
      </c>
    </row>
    <row r="47" spans="1:5" x14ac:dyDescent="0.25">
      <c r="A47">
        <v>150.25</v>
      </c>
      <c r="B47">
        <v>117</v>
      </c>
      <c r="C47">
        <v>135.01</v>
      </c>
      <c r="D47">
        <v>125.35</v>
      </c>
      <c r="E47">
        <v>125.8</v>
      </c>
    </row>
    <row r="48" spans="1:5" x14ac:dyDescent="0.25">
      <c r="A48">
        <v>128.83000000000001</v>
      </c>
      <c r="B48">
        <v>117</v>
      </c>
      <c r="C48">
        <v>135.01</v>
      </c>
      <c r="D48">
        <v>113.84</v>
      </c>
      <c r="E48">
        <v>123.64</v>
      </c>
    </row>
    <row r="49" spans="1:5" x14ac:dyDescent="0.25">
      <c r="A49">
        <v>128.83000000000001</v>
      </c>
      <c r="B49">
        <v>115.58</v>
      </c>
      <c r="C49">
        <v>122.69</v>
      </c>
      <c r="D49">
        <v>113.84</v>
      </c>
      <c r="E49">
        <v>123.64</v>
      </c>
    </row>
    <row r="50" spans="1:5" x14ac:dyDescent="0.25">
      <c r="A50">
        <v>133.66</v>
      </c>
      <c r="B50">
        <v>115.58</v>
      </c>
      <c r="C50">
        <v>122.69</v>
      </c>
      <c r="D50">
        <v>121.94</v>
      </c>
      <c r="E50">
        <v>119.37</v>
      </c>
    </row>
    <row r="51" spans="1:5" x14ac:dyDescent="0.25">
      <c r="A51">
        <v>133.66</v>
      </c>
      <c r="B51">
        <v>124.69</v>
      </c>
      <c r="C51">
        <v>116.3</v>
      </c>
      <c r="D51">
        <v>121.94</v>
      </c>
      <c r="E51">
        <v>119.37</v>
      </c>
    </row>
    <row r="52" spans="1:5" x14ac:dyDescent="0.25">
      <c r="A52">
        <v>114.46</v>
      </c>
      <c r="B52">
        <v>124.69</v>
      </c>
      <c r="C52">
        <v>116.3</v>
      </c>
      <c r="D52">
        <v>117.38</v>
      </c>
      <c r="E52">
        <v>118.31</v>
      </c>
    </row>
    <row r="53" spans="1:5" x14ac:dyDescent="0.25">
      <c r="A53">
        <v>114.46</v>
      </c>
      <c r="B53">
        <v>115.98</v>
      </c>
      <c r="C53">
        <v>117.74</v>
      </c>
      <c r="D53">
        <v>117.38</v>
      </c>
      <c r="E53">
        <v>118.31</v>
      </c>
    </row>
    <row r="54" spans="1:5" x14ac:dyDescent="0.25">
      <c r="A54">
        <v>116.07</v>
      </c>
      <c r="B54">
        <v>115.98</v>
      </c>
      <c r="C54">
        <v>117.74</v>
      </c>
      <c r="D54">
        <v>139.91</v>
      </c>
      <c r="E54">
        <v>135.31</v>
      </c>
    </row>
    <row r="55" spans="1:5" x14ac:dyDescent="0.25">
      <c r="A55">
        <v>116.07</v>
      </c>
      <c r="B55">
        <v>139.61000000000001</v>
      </c>
      <c r="C55">
        <v>134.04</v>
      </c>
      <c r="D55">
        <v>139.91</v>
      </c>
      <c r="E55">
        <v>135.31</v>
      </c>
    </row>
    <row r="56" spans="1:5" x14ac:dyDescent="0.25">
      <c r="A56">
        <v>138.71</v>
      </c>
      <c r="B56">
        <v>139.61000000000001</v>
      </c>
      <c r="C56">
        <v>134.04</v>
      </c>
      <c r="D56">
        <v>126.75</v>
      </c>
      <c r="E56">
        <v>125.03</v>
      </c>
    </row>
    <row r="57" spans="1:5" x14ac:dyDescent="0.25">
      <c r="A57">
        <v>138.71</v>
      </c>
      <c r="B57">
        <v>126.91</v>
      </c>
      <c r="C57">
        <v>128.08000000000001</v>
      </c>
      <c r="D57">
        <v>126.75</v>
      </c>
      <c r="E57">
        <v>125.03</v>
      </c>
    </row>
    <row r="58" spans="1:5" x14ac:dyDescent="0.25">
      <c r="A58">
        <v>129.44999999999999</v>
      </c>
      <c r="B58">
        <v>126.91</v>
      </c>
      <c r="C58">
        <v>128.08000000000001</v>
      </c>
      <c r="D58">
        <v>114.21</v>
      </c>
      <c r="E58">
        <v>118.63</v>
      </c>
    </row>
    <row r="59" spans="1:5" x14ac:dyDescent="0.25">
      <c r="A59">
        <v>129.44999999999999</v>
      </c>
      <c r="B59">
        <v>113.59</v>
      </c>
      <c r="C59">
        <v>112.35</v>
      </c>
      <c r="D59">
        <v>114.21</v>
      </c>
      <c r="E59">
        <v>118.63</v>
      </c>
    </row>
    <row r="60" spans="1:5" x14ac:dyDescent="0.25">
      <c r="A60">
        <v>114.14</v>
      </c>
      <c r="B60">
        <v>113.59</v>
      </c>
      <c r="C60">
        <v>112.35</v>
      </c>
      <c r="D60">
        <v>117.41</v>
      </c>
      <c r="E60">
        <v>125.12</v>
      </c>
    </row>
    <row r="61" spans="1:5" x14ac:dyDescent="0.25">
      <c r="A61">
        <v>114.14</v>
      </c>
      <c r="B61">
        <v>115.04</v>
      </c>
      <c r="C61">
        <v>118.98</v>
      </c>
      <c r="D61">
        <v>117.41</v>
      </c>
      <c r="E61">
        <v>125.12</v>
      </c>
    </row>
    <row r="62" spans="1:5" x14ac:dyDescent="0.25">
      <c r="A62">
        <v>115.48</v>
      </c>
      <c r="B62">
        <v>115.04</v>
      </c>
      <c r="C62">
        <v>118.98</v>
      </c>
      <c r="D62">
        <v>120.58</v>
      </c>
      <c r="E62">
        <v>118.4</v>
      </c>
    </row>
    <row r="63" spans="1:5" x14ac:dyDescent="0.25">
      <c r="A63">
        <v>115.48</v>
      </c>
      <c r="B63">
        <v>122.55</v>
      </c>
      <c r="C63">
        <v>122.03</v>
      </c>
      <c r="D63">
        <v>120.58</v>
      </c>
      <c r="E63">
        <v>118.4</v>
      </c>
    </row>
    <row r="64" spans="1:5" x14ac:dyDescent="0.25">
      <c r="A64">
        <v>122.62</v>
      </c>
      <c r="B64">
        <v>122.55</v>
      </c>
      <c r="C64">
        <v>122.03</v>
      </c>
      <c r="D64">
        <v>149.85</v>
      </c>
      <c r="E64">
        <v>150.44</v>
      </c>
    </row>
    <row r="65" spans="1:5" x14ac:dyDescent="0.25">
      <c r="A65">
        <v>122.62</v>
      </c>
      <c r="B65">
        <v>139.63</v>
      </c>
      <c r="C65">
        <v>123.97</v>
      </c>
      <c r="D65">
        <v>149.85</v>
      </c>
      <c r="E65">
        <v>150.44</v>
      </c>
    </row>
    <row r="66" spans="1:5" x14ac:dyDescent="0.25">
      <c r="A66">
        <v>143.44</v>
      </c>
      <c r="B66">
        <v>139.63</v>
      </c>
      <c r="C66">
        <v>123.97</v>
      </c>
      <c r="D66">
        <v>126.32</v>
      </c>
      <c r="E66">
        <v>120.25</v>
      </c>
    </row>
    <row r="67" spans="1:5" x14ac:dyDescent="0.25">
      <c r="A67">
        <v>143.44</v>
      </c>
      <c r="B67">
        <v>116.14</v>
      </c>
      <c r="C67">
        <v>137.62</v>
      </c>
      <c r="D67">
        <v>126.32</v>
      </c>
      <c r="E67">
        <v>120.25</v>
      </c>
    </row>
    <row r="68" spans="1:5" x14ac:dyDescent="0.25">
      <c r="A68">
        <v>118.51</v>
      </c>
      <c r="B68">
        <v>116.14</v>
      </c>
      <c r="C68">
        <v>137.62</v>
      </c>
      <c r="D68">
        <v>122.35</v>
      </c>
      <c r="E68">
        <v>126.49</v>
      </c>
    </row>
    <row r="69" spans="1:5" x14ac:dyDescent="0.25">
      <c r="A69">
        <v>118.51</v>
      </c>
      <c r="B69">
        <v>125.23</v>
      </c>
      <c r="C69">
        <v>115.84</v>
      </c>
      <c r="D69">
        <v>122.35</v>
      </c>
      <c r="E69">
        <v>126.49</v>
      </c>
    </row>
    <row r="70" spans="1:5" x14ac:dyDescent="0.25">
      <c r="A70">
        <v>115.45</v>
      </c>
      <c r="B70">
        <v>125.23</v>
      </c>
      <c r="C70">
        <v>115.84</v>
      </c>
      <c r="D70">
        <v>118.51</v>
      </c>
      <c r="E70">
        <v>117.69</v>
      </c>
    </row>
    <row r="71" spans="1:5" x14ac:dyDescent="0.25">
      <c r="A71">
        <v>115.45</v>
      </c>
      <c r="B71">
        <v>118.75</v>
      </c>
      <c r="C71">
        <v>118.24</v>
      </c>
      <c r="D71">
        <v>118.51</v>
      </c>
      <c r="E71">
        <v>117.69</v>
      </c>
    </row>
    <row r="72" spans="1:5" x14ac:dyDescent="0.25">
      <c r="A72">
        <v>117.37</v>
      </c>
      <c r="B72">
        <v>118.75</v>
      </c>
      <c r="C72">
        <v>118.24</v>
      </c>
      <c r="D72">
        <v>139.07</v>
      </c>
      <c r="E72">
        <v>122.03</v>
      </c>
    </row>
    <row r="73" spans="1:5" x14ac:dyDescent="0.25">
      <c r="A73">
        <v>117.37</v>
      </c>
      <c r="B73">
        <v>114.12</v>
      </c>
      <c r="C73">
        <v>116.4</v>
      </c>
      <c r="D73">
        <v>139.07</v>
      </c>
      <c r="E73">
        <v>122.03</v>
      </c>
    </row>
    <row r="74" spans="1:5" x14ac:dyDescent="0.25">
      <c r="A74">
        <v>112.13</v>
      </c>
      <c r="B74">
        <v>114.12</v>
      </c>
      <c r="C74">
        <v>116.4</v>
      </c>
      <c r="D74">
        <v>136.41</v>
      </c>
      <c r="E74">
        <v>147.87</v>
      </c>
    </row>
    <row r="75" spans="1:5" x14ac:dyDescent="0.25">
      <c r="A75">
        <v>112.13</v>
      </c>
      <c r="B75">
        <v>131.25</v>
      </c>
      <c r="C75">
        <v>122.61</v>
      </c>
      <c r="D75">
        <v>136.41</v>
      </c>
      <c r="E75">
        <v>147.87</v>
      </c>
    </row>
    <row r="76" spans="1:5" x14ac:dyDescent="0.25">
      <c r="A76">
        <v>127.8</v>
      </c>
      <c r="B76">
        <v>131.25</v>
      </c>
      <c r="C76">
        <v>122.61</v>
      </c>
      <c r="D76">
        <v>113.44</v>
      </c>
      <c r="E76">
        <v>118.89</v>
      </c>
    </row>
    <row r="77" spans="1:5" x14ac:dyDescent="0.25">
      <c r="A77">
        <v>127.8</v>
      </c>
      <c r="B77">
        <v>119.74</v>
      </c>
      <c r="C77">
        <v>134.41</v>
      </c>
      <c r="D77">
        <v>113.44</v>
      </c>
      <c r="E77">
        <v>118.89</v>
      </c>
    </row>
    <row r="78" spans="1:5" x14ac:dyDescent="0.25">
      <c r="A78">
        <v>123.51</v>
      </c>
      <c r="B78">
        <v>119.74</v>
      </c>
      <c r="C78">
        <v>134.41</v>
      </c>
      <c r="D78">
        <v>120.92</v>
      </c>
      <c r="E78">
        <v>124.88</v>
      </c>
    </row>
    <row r="79" spans="1:5" x14ac:dyDescent="0.25">
      <c r="A79">
        <v>123.51</v>
      </c>
      <c r="B79">
        <v>118.02</v>
      </c>
      <c r="C79">
        <v>116.73</v>
      </c>
      <c r="D79">
        <v>120.92</v>
      </c>
      <c r="E79">
        <v>124.88</v>
      </c>
    </row>
    <row r="80" spans="1:5" x14ac:dyDescent="0.25">
      <c r="A80">
        <v>116.68</v>
      </c>
      <c r="B80">
        <v>118.02</v>
      </c>
      <c r="C80">
        <v>116.73</v>
      </c>
      <c r="D80">
        <v>124.78</v>
      </c>
      <c r="E80">
        <v>122.46</v>
      </c>
    </row>
    <row r="81" spans="1:5" x14ac:dyDescent="0.25">
      <c r="A81">
        <v>116.68</v>
      </c>
      <c r="B81">
        <v>118.4</v>
      </c>
      <c r="C81">
        <v>117.39</v>
      </c>
      <c r="D81">
        <v>124.78</v>
      </c>
      <c r="E81">
        <v>122.46</v>
      </c>
    </row>
    <row r="82" spans="1:5" x14ac:dyDescent="0.25">
      <c r="A82">
        <v>114.2</v>
      </c>
      <c r="B82">
        <v>118.4</v>
      </c>
      <c r="C82">
        <v>117.39</v>
      </c>
      <c r="D82">
        <v>127.02</v>
      </c>
      <c r="E82">
        <v>118.46</v>
      </c>
    </row>
    <row r="83" spans="1:5" x14ac:dyDescent="0.25">
      <c r="A83">
        <v>114.2</v>
      </c>
      <c r="B83">
        <v>118.84</v>
      </c>
      <c r="C83">
        <v>117.24</v>
      </c>
      <c r="D83">
        <v>127.02</v>
      </c>
      <c r="E83">
        <v>118.46</v>
      </c>
    </row>
    <row r="84" spans="1:5" x14ac:dyDescent="0.25">
      <c r="A84">
        <v>122.81</v>
      </c>
      <c r="B84">
        <v>118.84</v>
      </c>
      <c r="C84">
        <v>117.24</v>
      </c>
      <c r="D84">
        <v>130.86000000000001</v>
      </c>
      <c r="E84">
        <v>150.76</v>
      </c>
    </row>
    <row r="85" spans="1:5" x14ac:dyDescent="0.25">
      <c r="A85">
        <v>122.81</v>
      </c>
      <c r="B85">
        <v>126.2</v>
      </c>
      <c r="C85">
        <v>117.21</v>
      </c>
      <c r="D85">
        <v>130.86000000000001</v>
      </c>
      <c r="E85">
        <v>150.76</v>
      </c>
    </row>
    <row r="86" spans="1:5" x14ac:dyDescent="0.25">
      <c r="A86">
        <v>128.62</v>
      </c>
      <c r="B86">
        <v>126.2</v>
      </c>
      <c r="C86">
        <v>117.21</v>
      </c>
      <c r="D86">
        <v>118.4</v>
      </c>
      <c r="E86">
        <v>128.01</v>
      </c>
    </row>
    <row r="87" spans="1:5" x14ac:dyDescent="0.25">
      <c r="A87">
        <v>128.62</v>
      </c>
      <c r="B87">
        <v>122.82</v>
      </c>
      <c r="C87">
        <v>145.03</v>
      </c>
      <c r="D87">
        <v>118.4</v>
      </c>
      <c r="E87">
        <v>128.01</v>
      </c>
    </row>
    <row r="88" spans="1:5" x14ac:dyDescent="0.25">
      <c r="A88">
        <v>115.34</v>
      </c>
      <c r="B88">
        <v>121.79</v>
      </c>
      <c r="C88">
        <v>145.03</v>
      </c>
      <c r="D88">
        <v>116.57</v>
      </c>
      <c r="E88">
        <v>119.58</v>
      </c>
    </row>
    <row r="89" spans="1:5" x14ac:dyDescent="0.25">
      <c r="A89">
        <v>115.34</v>
      </c>
      <c r="B89">
        <v>121.79</v>
      </c>
      <c r="C89">
        <v>118.1</v>
      </c>
      <c r="D89">
        <v>116.57</v>
      </c>
      <c r="E89">
        <v>119.58</v>
      </c>
    </row>
    <row r="90" spans="1:5" x14ac:dyDescent="0.25">
      <c r="A90">
        <v>115.51</v>
      </c>
      <c r="B90">
        <v>121.79</v>
      </c>
      <c r="C90">
        <v>118.1</v>
      </c>
      <c r="D90">
        <v>117.82</v>
      </c>
      <c r="E90">
        <v>125.38</v>
      </c>
    </row>
    <row r="91" spans="1:5" x14ac:dyDescent="0.25">
      <c r="A91">
        <v>115.51</v>
      </c>
      <c r="B91">
        <v>118.48</v>
      </c>
      <c r="C91">
        <v>114.28</v>
      </c>
      <c r="D91">
        <v>117.82</v>
      </c>
      <c r="E91">
        <v>125.38</v>
      </c>
    </row>
    <row r="92" spans="1:5" x14ac:dyDescent="0.25">
      <c r="A92">
        <v>113.57</v>
      </c>
      <c r="B92">
        <v>117.17</v>
      </c>
      <c r="C92">
        <v>114.28</v>
      </c>
      <c r="D92">
        <v>139.07</v>
      </c>
      <c r="E92">
        <v>129.22</v>
      </c>
    </row>
    <row r="93" spans="1:5" x14ac:dyDescent="0.25">
      <c r="A93">
        <v>113.57</v>
      </c>
      <c r="B93">
        <v>117.17</v>
      </c>
      <c r="C93">
        <v>123.75</v>
      </c>
      <c r="D93">
        <v>139.07</v>
      </c>
      <c r="E93">
        <v>129.22</v>
      </c>
    </row>
    <row r="94" spans="1:5" x14ac:dyDescent="0.25">
      <c r="A94">
        <v>112.85</v>
      </c>
      <c r="B94">
        <v>134.69</v>
      </c>
      <c r="C94">
        <v>123.75</v>
      </c>
      <c r="D94">
        <v>113.15</v>
      </c>
      <c r="E94">
        <v>140.77000000000001</v>
      </c>
    </row>
    <row r="95" spans="1:5" x14ac:dyDescent="0.25">
      <c r="A95">
        <v>112.85</v>
      </c>
      <c r="B95">
        <v>134.69</v>
      </c>
      <c r="C95">
        <v>116.79</v>
      </c>
      <c r="D95">
        <v>113.15</v>
      </c>
      <c r="E95">
        <v>140.77000000000001</v>
      </c>
    </row>
    <row r="96" spans="1:5" x14ac:dyDescent="0.25">
      <c r="A96">
        <v>138.08000000000001</v>
      </c>
      <c r="B96">
        <v>134.69</v>
      </c>
      <c r="C96">
        <v>116.79</v>
      </c>
      <c r="D96">
        <v>117.16</v>
      </c>
      <c r="E96">
        <v>116.52</v>
      </c>
    </row>
    <row r="97" spans="1:5" x14ac:dyDescent="0.25">
      <c r="A97">
        <v>138.08000000000001</v>
      </c>
      <c r="B97">
        <v>114.57</v>
      </c>
      <c r="C97">
        <v>141.53</v>
      </c>
      <c r="D97">
        <v>117.16</v>
      </c>
      <c r="E97">
        <v>116.52</v>
      </c>
    </row>
    <row r="98" spans="1:5" x14ac:dyDescent="0.25">
      <c r="A98">
        <v>131.85</v>
      </c>
      <c r="B98">
        <v>115.26</v>
      </c>
      <c r="C98">
        <v>141.53</v>
      </c>
      <c r="D98">
        <v>121.13</v>
      </c>
      <c r="E98">
        <v>127.23</v>
      </c>
    </row>
    <row r="99" spans="1:5" x14ac:dyDescent="0.25">
      <c r="A99">
        <v>131.85</v>
      </c>
      <c r="B99">
        <v>115.26</v>
      </c>
      <c r="C99">
        <v>125.03</v>
      </c>
      <c r="D99">
        <v>121.13</v>
      </c>
      <c r="E99">
        <v>127.23</v>
      </c>
    </row>
    <row r="100" spans="1:5" x14ac:dyDescent="0.25">
      <c r="A100">
        <v>114.92</v>
      </c>
      <c r="B100">
        <v>125.96</v>
      </c>
      <c r="C100">
        <v>125.03</v>
      </c>
      <c r="D100">
        <v>116.58</v>
      </c>
      <c r="E100">
        <v>120.07</v>
      </c>
    </row>
    <row r="101" spans="1:5" x14ac:dyDescent="0.25">
      <c r="A101">
        <v>116.16</v>
      </c>
      <c r="B101">
        <v>125.96</v>
      </c>
      <c r="C101">
        <v>119.47</v>
      </c>
      <c r="D101">
        <v>116.58</v>
      </c>
      <c r="E101">
        <v>120.07</v>
      </c>
    </row>
    <row r="102" spans="1:5" x14ac:dyDescent="0.25">
      <c r="A102">
        <v>115.27</v>
      </c>
      <c r="B102">
        <v>114.26</v>
      </c>
      <c r="C102">
        <v>119.47</v>
      </c>
      <c r="D102">
        <v>130.38999999999999</v>
      </c>
      <c r="E102">
        <v>118.43</v>
      </c>
    </row>
    <row r="103" spans="1:5" x14ac:dyDescent="0.25">
      <c r="A103">
        <v>115.27</v>
      </c>
      <c r="B103">
        <v>114.26</v>
      </c>
      <c r="C103">
        <v>123.73</v>
      </c>
      <c r="D103">
        <v>130.38999999999999</v>
      </c>
      <c r="E103">
        <v>118.43</v>
      </c>
    </row>
    <row r="104" spans="1:5" x14ac:dyDescent="0.25">
      <c r="A104">
        <v>133.94999999999999</v>
      </c>
      <c r="B104">
        <v>134.66</v>
      </c>
      <c r="C104">
        <v>123.73</v>
      </c>
      <c r="D104">
        <v>119.2</v>
      </c>
      <c r="E104">
        <v>155.9</v>
      </c>
    </row>
    <row r="105" spans="1:5" x14ac:dyDescent="0.25">
      <c r="A105">
        <v>133.94999999999999</v>
      </c>
      <c r="B105">
        <v>134.66</v>
      </c>
      <c r="C105">
        <v>122.31</v>
      </c>
      <c r="D105">
        <v>119.2</v>
      </c>
      <c r="E105">
        <v>155.9</v>
      </c>
    </row>
    <row r="106" spans="1:5" x14ac:dyDescent="0.25">
      <c r="A106">
        <v>134.16999999999999</v>
      </c>
      <c r="B106">
        <v>122.77</v>
      </c>
      <c r="C106">
        <v>122.31</v>
      </c>
      <c r="D106">
        <v>116.34</v>
      </c>
      <c r="E106">
        <v>119.66</v>
      </c>
    </row>
    <row r="107" spans="1:5" x14ac:dyDescent="0.25">
      <c r="A107">
        <v>134.16999999999999</v>
      </c>
      <c r="B107">
        <v>122.77</v>
      </c>
      <c r="C107">
        <v>134.57</v>
      </c>
      <c r="D107">
        <v>116.34</v>
      </c>
      <c r="E107">
        <v>119.66</v>
      </c>
    </row>
    <row r="108" spans="1:5" x14ac:dyDescent="0.25">
      <c r="A108">
        <v>116.15</v>
      </c>
      <c r="B108">
        <v>117.8</v>
      </c>
      <c r="C108">
        <v>134.57</v>
      </c>
      <c r="D108">
        <v>116.62</v>
      </c>
      <c r="E108">
        <v>118.24</v>
      </c>
    </row>
    <row r="109" spans="1:5" x14ac:dyDescent="0.25">
      <c r="A109">
        <v>116.15</v>
      </c>
      <c r="B109">
        <v>117.8</v>
      </c>
      <c r="C109">
        <v>117.71</v>
      </c>
      <c r="D109">
        <v>116.62</v>
      </c>
      <c r="E109">
        <v>118.24</v>
      </c>
    </row>
    <row r="110" spans="1:5" x14ac:dyDescent="0.25">
      <c r="A110">
        <v>111.43</v>
      </c>
      <c r="B110">
        <v>114.57</v>
      </c>
      <c r="C110">
        <v>117.71</v>
      </c>
      <c r="D110">
        <v>125.9</v>
      </c>
      <c r="E110">
        <v>129.24</v>
      </c>
    </row>
    <row r="111" spans="1:5" x14ac:dyDescent="0.25">
      <c r="A111">
        <v>111.43</v>
      </c>
      <c r="B111">
        <v>114.57</v>
      </c>
      <c r="C111">
        <v>119.95</v>
      </c>
      <c r="D111">
        <v>125.9</v>
      </c>
      <c r="E111">
        <v>129.24</v>
      </c>
    </row>
    <row r="112" spans="1:5" x14ac:dyDescent="0.25">
      <c r="A112">
        <v>123.61</v>
      </c>
      <c r="B112">
        <v>123.69</v>
      </c>
      <c r="C112">
        <v>119.95</v>
      </c>
      <c r="D112">
        <v>141.94999999999999</v>
      </c>
      <c r="E112">
        <v>125.33</v>
      </c>
    </row>
    <row r="113" spans="1:5" x14ac:dyDescent="0.25">
      <c r="A113">
        <v>123.61</v>
      </c>
      <c r="B113">
        <v>123.69</v>
      </c>
      <c r="C113">
        <v>119.52</v>
      </c>
      <c r="D113">
        <v>141.94999999999999</v>
      </c>
      <c r="E113">
        <v>125.33</v>
      </c>
    </row>
    <row r="114" spans="1:5" x14ac:dyDescent="0.25">
      <c r="A114">
        <v>141.55000000000001</v>
      </c>
      <c r="B114">
        <v>146.94999999999999</v>
      </c>
      <c r="C114">
        <v>119.52</v>
      </c>
      <c r="D114">
        <v>112.32</v>
      </c>
      <c r="E114">
        <v>134.41</v>
      </c>
    </row>
    <row r="115" spans="1:5" x14ac:dyDescent="0.25">
      <c r="A115">
        <v>141.55000000000001</v>
      </c>
      <c r="B115">
        <v>146.94999999999999</v>
      </c>
      <c r="C115">
        <v>132.71</v>
      </c>
      <c r="D115">
        <v>112.32</v>
      </c>
      <c r="E115">
        <v>134.41</v>
      </c>
    </row>
    <row r="116" spans="1:5" x14ac:dyDescent="0.25">
      <c r="A116">
        <v>115.45</v>
      </c>
      <c r="B116">
        <v>118.43</v>
      </c>
      <c r="C116">
        <v>132.71</v>
      </c>
      <c r="D116">
        <v>118.68</v>
      </c>
      <c r="E116">
        <v>123.44</v>
      </c>
    </row>
    <row r="117" spans="1:5" x14ac:dyDescent="0.25">
      <c r="A117">
        <v>115.45</v>
      </c>
      <c r="B117">
        <v>118.43</v>
      </c>
      <c r="C117">
        <v>139.35</v>
      </c>
      <c r="D117">
        <v>118.68</v>
      </c>
      <c r="E117">
        <v>123.44</v>
      </c>
    </row>
    <row r="118" spans="1:5" x14ac:dyDescent="0.25">
      <c r="A118">
        <v>115.7</v>
      </c>
      <c r="B118">
        <v>125.79</v>
      </c>
      <c r="C118">
        <v>139.35</v>
      </c>
      <c r="D118">
        <v>119.04</v>
      </c>
      <c r="E118">
        <v>125.38</v>
      </c>
    </row>
    <row r="119" spans="1:5" x14ac:dyDescent="0.25">
      <c r="A119">
        <v>115.7</v>
      </c>
      <c r="B119">
        <v>125.79</v>
      </c>
      <c r="C119">
        <v>121.56</v>
      </c>
      <c r="D119">
        <v>119.04</v>
      </c>
      <c r="E119">
        <v>125.38</v>
      </c>
    </row>
    <row r="120" spans="1:5" x14ac:dyDescent="0.25">
      <c r="A120">
        <v>116.34</v>
      </c>
      <c r="B120">
        <v>118.12</v>
      </c>
      <c r="C120">
        <v>121.56</v>
      </c>
      <c r="D120">
        <v>116.25</v>
      </c>
      <c r="E120">
        <v>118.39</v>
      </c>
    </row>
    <row r="121" spans="1:5" x14ac:dyDescent="0.25">
      <c r="A121">
        <v>116.34</v>
      </c>
      <c r="B121">
        <v>118.12</v>
      </c>
      <c r="C121">
        <v>116.4</v>
      </c>
      <c r="E121">
        <v>118.39</v>
      </c>
    </row>
    <row r="122" spans="1:5" x14ac:dyDescent="0.25">
      <c r="A122">
        <v>111.46</v>
      </c>
      <c r="B122">
        <v>114.04</v>
      </c>
      <c r="C122">
        <v>116.4</v>
      </c>
      <c r="E122">
        <v>129.26</v>
      </c>
    </row>
    <row r="123" spans="1:5" x14ac:dyDescent="0.25">
      <c r="A123">
        <v>111.46</v>
      </c>
      <c r="B123">
        <v>114.04</v>
      </c>
      <c r="C123">
        <v>116.53</v>
      </c>
      <c r="E123">
        <v>129.26</v>
      </c>
    </row>
    <row r="124" spans="1:5" x14ac:dyDescent="0.25">
      <c r="A124">
        <v>140.80000000000001</v>
      </c>
      <c r="B124">
        <v>152.47</v>
      </c>
      <c r="C124">
        <v>116.53</v>
      </c>
      <c r="E124">
        <v>133.74</v>
      </c>
    </row>
    <row r="125" spans="1:5" x14ac:dyDescent="0.25">
      <c r="A125">
        <v>140.80000000000001</v>
      </c>
      <c r="B125">
        <v>152.47</v>
      </c>
      <c r="C125">
        <v>117.55</v>
      </c>
    </row>
    <row r="126" spans="1:5" x14ac:dyDescent="0.25">
      <c r="A126">
        <v>122.92</v>
      </c>
      <c r="B126">
        <v>114.97</v>
      </c>
      <c r="C126">
        <v>117.55</v>
      </c>
    </row>
    <row r="127" spans="1:5" x14ac:dyDescent="0.25">
      <c r="A127">
        <v>122.92</v>
      </c>
      <c r="B127">
        <v>114.97</v>
      </c>
      <c r="C127">
        <v>123.39</v>
      </c>
    </row>
    <row r="128" spans="1:5" x14ac:dyDescent="0.25">
      <c r="B128">
        <v>116.96</v>
      </c>
      <c r="C128">
        <v>123.39</v>
      </c>
    </row>
    <row r="129" spans="2:3" x14ac:dyDescent="0.25">
      <c r="B129">
        <v>116.96</v>
      </c>
      <c r="C129">
        <v>118.38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39D4-22B3-BB47-B39E-AFAE192D4A13}">
  <dimension ref="A1:I123"/>
  <sheetViews>
    <sheetView topLeftCell="B2" zoomScale="140" workbookViewId="0">
      <selection activeCell="J18" sqref="J18"/>
    </sheetView>
  </sheetViews>
  <sheetFormatPr baseColWidth="10" defaultRowHeight="15.75" x14ac:dyDescent="0.25"/>
  <cols>
    <col min="7" max="7" width="11.5" customWidth="1"/>
    <col min="9" max="9" width="12.125" customWidth="1"/>
  </cols>
  <sheetData>
    <row r="1" spans="1:9" x14ac:dyDescent="0.25">
      <c r="A1" t="s">
        <v>13</v>
      </c>
      <c r="B1" t="s">
        <v>12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18</v>
      </c>
    </row>
    <row r="2" spans="1:9" x14ac:dyDescent="0.25">
      <c r="A2">
        <v>133.97</v>
      </c>
      <c r="B2">
        <v>138.68</v>
      </c>
      <c r="C2">
        <v>147.52000000000001</v>
      </c>
      <c r="D2">
        <v>187.65</v>
      </c>
      <c r="F2" t="s">
        <v>1</v>
      </c>
      <c r="G2">
        <f>AVERAGE(A:A)</f>
        <v>136.82024793388433</v>
      </c>
      <c r="H2">
        <f>AVERAGE(31,32)</f>
        <v>31.5</v>
      </c>
      <c r="I2">
        <f t="shared" ref="I2:I5" si="0">G2-H2</f>
        <v>105.32024793388433</v>
      </c>
    </row>
    <row r="3" spans="1:9" x14ac:dyDescent="0.25">
      <c r="A3">
        <v>133.97</v>
      </c>
      <c r="B3">
        <v>142.71</v>
      </c>
      <c r="C3">
        <v>147.52000000000001</v>
      </c>
      <c r="D3">
        <v>185.11</v>
      </c>
      <c r="F3" t="s">
        <v>3</v>
      </c>
      <c r="G3">
        <f>AVERAGE(B:B)</f>
        <v>141.23065573770489</v>
      </c>
      <c r="H3">
        <f>AVERAGE(36,37)</f>
        <v>36.5</v>
      </c>
      <c r="I3">
        <f t="shared" si="0"/>
        <v>104.73065573770489</v>
      </c>
    </row>
    <row r="4" spans="1:9" x14ac:dyDescent="0.25">
      <c r="A4">
        <v>132.47999999999999</v>
      </c>
      <c r="B4">
        <v>142.71</v>
      </c>
      <c r="C4">
        <v>147.58000000000001</v>
      </c>
      <c r="D4">
        <v>185.11</v>
      </c>
      <c r="F4" t="s">
        <v>2</v>
      </c>
      <c r="G4">
        <f>AVERAGE(C:C)</f>
        <v>149.92876033057848</v>
      </c>
      <c r="H4">
        <f>AVERAGE(46,47)</f>
        <v>46.5</v>
      </c>
      <c r="I4">
        <f t="shared" si="0"/>
        <v>103.42876033057848</v>
      </c>
    </row>
    <row r="5" spans="1:9" x14ac:dyDescent="0.25">
      <c r="A5">
        <v>132.47999999999999</v>
      </c>
      <c r="B5">
        <v>141.85</v>
      </c>
      <c r="C5">
        <v>147.58000000000001</v>
      </c>
      <c r="D5">
        <v>190.52</v>
      </c>
      <c r="F5" t="s">
        <v>4</v>
      </c>
      <c r="G5">
        <f>AVERAGE(D:D)</f>
        <v>190.83967213114747</v>
      </c>
      <c r="H5">
        <f>AVERAGE(87,91)</f>
        <v>89</v>
      </c>
      <c r="I5">
        <f t="shared" si="0"/>
        <v>101.83967213114747</v>
      </c>
    </row>
    <row r="6" spans="1:9" x14ac:dyDescent="0.25">
      <c r="A6">
        <v>132.1</v>
      </c>
      <c r="B6">
        <v>141.85</v>
      </c>
      <c r="C6">
        <v>159.06</v>
      </c>
      <c r="D6">
        <v>190.52</v>
      </c>
      <c r="F6" t="s">
        <v>5</v>
      </c>
      <c r="G6" t="s">
        <v>19</v>
      </c>
      <c r="H6" t="s">
        <v>19</v>
      </c>
      <c r="I6" t="s">
        <v>19</v>
      </c>
    </row>
    <row r="7" spans="1:9" x14ac:dyDescent="0.25">
      <c r="A7">
        <v>132.1</v>
      </c>
      <c r="B7">
        <v>137.86000000000001</v>
      </c>
      <c r="C7">
        <v>159.06</v>
      </c>
      <c r="D7">
        <v>194.24</v>
      </c>
    </row>
    <row r="8" spans="1:9" x14ac:dyDescent="0.25">
      <c r="A8">
        <v>131.19</v>
      </c>
      <c r="B8">
        <v>137.86000000000001</v>
      </c>
      <c r="C8">
        <v>147.19999999999999</v>
      </c>
      <c r="D8">
        <v>194.24</v>
      </c>
    </row>
    <row r="9" spans="1:9" x14ac:dyDescent="0.25">
      <c r="A9">
        <v>131.19</v>
      </c>
      <c r="B9">
        <v>141.22999999999999</v>
      </c>
      <c r="C9">
        <v>147.19999999999999</v>
      </c>
      <c r="D9">
        <v>187.57</v>
      </c>
    </row>
    <row r="10" spans="1:9" x14ac:dyDescent="0.25">
      <c r="A10">
        <v>160.46</v>
      </c>
      <c r="B10">
        <v>141.22999999999999</v>
      </c>
      <c r="C10">
        <v>148.84</v>
      </c>
      <c r="D10">
        <v>187.57</v>
      </c>
    </row>
    <row r="11" spans="1:9" x14ac:dyDescent="0.25">
      <c r="A11">
        <v>160.46</v>
      </c>
      <c r="B11">
        <v>144.06</v>
      </c>
      <c r="C11">
        <v>148.84</v>
      </c>
      <c r="D11">
        <v>193.22</v>
      </c>
    </row>
    <row r="12" spans="1:9" x14ac:dyDescent="0.25">
      <c r="A12">
        <v>138.78</v>
      </c>
      <c r="B12">
        <v>144.06</v>
      </c>
      <c r="C12">
        <v>153.54</v>
      </c>
      <c r="D12">
        <v>193.22</v>
      </c>
    </row>
    <row r="13" spans="1:9" x14ac:dyDescent="0.25">
      <c r="A13">
        <v>138.78</v>
      </c>
      <c r="B13">
        <v>139.16</v>
      </c>
      <c r="C13">
        <v>153.54</v>
      </c>
      <c r="D13">
        <v>191.54</v>
      </c>
    </row>
    <row r="14" spans="1:9" x14ac:dyDescent="0.25">
      <c r="A14">
        <v>138.69</v>
      </c>
      <c r="B14">
        <v>139.16</v>
      </c>
      <c r="C14">
        <v>146.75</v>
      </c>
      <c r="D14">
        <v>191.54</v>
      </c>
    </row>
    <row r="15" spans="1:9" x14ac:dyDescent="0.25">
      <c r="A15">
        <v>138.69</v>
      </c>
      <c r="B15">
        <v>139.18</v>
      </c>
      <c r="C15">
        <v>146.75</v>
      </c>
      <c r="D15">
        <v>186.67</v>
      </c>
    </row>
    <row r="16" spans="1:9" x14ac:dyDescent="0.25">
      <c r="A16">
        <v>131.55000000000001</v>
      </c>
      <c r="B16">
        <v>139.18</v>
      </c>
      <c r="C16">
        <v>146.06</v>
      </c>
      <c r="D16">
        <v>186.67</v>
      </c>
    </row>
    <row r="17" spans="1:4" x14ac:dyDescent="0.25">
      <c r="A17">
        <v>131.55000000000001</v>
      </c>
      <c r="B17">
        <v>143.35</v>
      </c>
      <c r="C17">
        <v>146.06</v>
      </c>
      <c r="D17">
        <v>191.91</v>
      </c>
    </row>
    <row r="18" spans="1:4" x14ac:dyDescent="0.25">
      <c r="A18">
        <v>131.79</v>
      </c>
      <c r="B18">
        <v>143.35</v>
      </c>
      <c r="C18">
        <v>157.55000000000001</v>
      </c>
      <c r="D18">
        <v>191.91</v>
      </c>
    </row>
    <row r="19" spans="1:4" x14ac:dyDescent="0.25">
      <c r="A19">
        <v>131.79</v>
      </c>
      <c r="B19">
        <v>137.74</v>
      </c>
      <c r="C19">
        <v>157.55000000000001</v>
      </c>
      <c r="D19">
        <v>192.12</v>
      </c>
    </row>
    <row r="20" spans="1:4" x14ac:dyDescent="0.25">
      <c r="A20">
        <v>134.88</v>
      </c>
      <c r="B20">
        <v>137.74</v>
      </c>
      <c r="C20">
        <v>152.02000000000001</v>
      </c>
      <c r="D20">
        <v>192.12</v>
      </c>
    </row>
    <row r="21" spans="1:4" x14ac:dyDescent="0.25">
      <c r="A21">
        <v>134.88</v>
      </c>
      <c r="B21">
        <v>138.19</v>
      </c>
      <c r="C21">
        <v>152.02000000000001</v>
      </c>
      <c r="D21">
        <v>188.51</v>
      </c>
    </row>
    <row r="22" spans="1:4" x14ac:dyDescent="0.25">
      <c r="A22">
        <v>131.31</v>
      </c>
      <c r="B22">
        <v>138.19</v>
      </c>
      <c r="C22">
        <v>147.05000000000001</v>
      </c>
      <c r="D22">
        <v>188.51</v>
      </c>
    </row>
    <row r="23" spans="1:4" x14ac:dyDescent="0.25">
      <c r="A23">
        <v>131.31</v>
      </c>
      <c r="B23">
        <v>146.41</v>
      </c>
      <c r="C23">
        <v>147.05000000000001</v>
      </c>
      <c r="D23">
        <v>193.07</v>
      </c>
    </row>
    <row r="24" spans="1:4" x14ac:dyDescent="0.25">
      <c r="A24">
        <v>134.85</v>
      </c>
      <c r="B24">
        <v>146.41</v>
      </c>
      <c r="C24">
        <v>150.94999999999999</v>
      </c>
      <c r="D24">
        <v>193.07</v>
      </c>
    </row>
    <row r="25" spans="1:4" x14ac:dyDescent="0.25">
      <c r="A25">
        <v>134.85</v>
      </c>
      <c r="B25">
        <v>141.33000000000001</v>
      </c>
      <c r="C25">
        <v>150.94999999999999</v>
      </c>
      <c r="D25">
        <v>192.25</v>
      </c>
    </row>
    <row r="26" spans="1:4" x14ac:dyDescent="0.25">
      <c r="A26">
        <v>133.38</v>
      </c>
      <c r="B26">
        <v>141.33000000000001</v>
      </c>
      <c r="C26">
        <v>145.93</v>
      </c>
      <c r="D26">
        <v>192.25</v>
      </c>
    </row>
    <row r="27" spans="1:4" x14ac:dyDescent="0.25">
      <c r="A27">
        <v>133.38</v>
      </c>
      <c r="B27">
        <v>144.72</v>
      </c>
      <c r="C27">
        <v>145.93</v>
      </c>
      <c r="D27">
        <v>194.15</v>
      </c>
    </row>
    <row r="28" spans="1:4" x14ac:dyDescent="0.25">
      <c r="A28">
        <v>133.63</v>
      </c>
      <c r="B28">
        <v>144.72</v>
      </c>
      <c r="C28">
        <v>146</v>
      </c>
      <c r="D28">
        <v>194.15</v>
      </c>
    </row>
    <row r="29" spans="1:4" x14ac:dyDescent="0.25">
      <c r="A29">
        <v>133.63</v>
      </c>
      <c r="B29">
        <v>145.19</v>
      </c>
      <c r="C29">
        <v>146</v>
      </c>
      <c r="D29">
        <v>187.79</v>
      </c>
    </row>
    <row r="30" spans="1:4" x14ac:dyDescent="0.25">
      <c r="A30">
        <v>141</v>
      </c>
      <c r="B30">
        <v>145.19</v>
      </c>
      <c r="C30">
        <v>151.41999999999999</v>
      </c>
      <c r="D30">
        <v>187.79</v>
      </c>
    </row>
    <row r="31" spans="1:4" x14ac:dyDescent="0.25">
      <c r="A31">
        <v>141</v>
      </c>
      <c r="B31">
        <v>137.86000000000001</v>
      </c>
      <c r="C31">
        <v>151.41999999999999</v>
      </c>
      <c r="D31">
        <v>197.27</v>
      </c>
    </row>
    <row r="32" spans="1:4" x14ac:dyDescent="0.25">
      <c r="A32">
        <v>137.04</v>
      </c>
      <c r="B32">
        <v>137.86000000000001</v>
      </c>
      <c r="C32">
        <v>153.02000000000001</v>
      </c>
      <c r="D32">
        <v>197.27</v>
      </c>
    </row>
    <row r="33" spans="1:4" x14ac:dyDescent="0.25">
      <c r="A33">
        <v>137.04</v>
      </c>
      <c r="B33">
        <v>138.55000000000001</v>
      </c>
      <c r="C33">
        <v>153.02000000000001</v>
      </c>
      <c r="D33">
        <v>187.84</v>
      </c>
    </row>
    <row r="34" spans="1:4" x14ac:dyDescent="0.25">
      <c r="A34">
        <v>131.63</v>
      </c>
      <c r="B34">
        <v>138.55000000000001</v>
      </c>
      <c r="C34">
        <v>145.72</v>
      </c>
      <c r="D34">
        <v>187.84</v>
      </c>
    </row>
    <row r="35" spans="1:4" x14ac:dyDescent="0.25">
      <c r="A35">
        <v>131.63</v>
      </c>
      <c r="B35">
        <v>138.65</v>
      </c>
      <c r="C35">
        <v>145.72</v>
      </c>
      <c r="D35">
        <v>190.72</v>
      </c>
    </row>
    <row r="36" spans="1:4" x14ac:dyDescent="0.25">
      <c r="A36">
        <v>137.68</v>
      </c>
      <c r="B36">
        <v>138.65</v>
      </c>
      <c r="C36">
        <v>149.47</v>
      </c>
      <c r="D36">
        <v>190.72</v>
      </c>
    </row>
    <row r="37" spans="1:4" x14ac:dyDescent="0.25">
      <c r="A37">
        <v>137.68</v>
      </c>
      <c r="B37">
        <v>138.16999999999999</v>
      </c>
      <c r="C37">
        <v>149.47</v>
      </c>
      <c r="D37">
        <v>193.8</v>
      </c>
    </row>
    <row r="38" spans="1:4" x14ac:dyDescent="0.25">
      <c r="A38">
        <v>133.55000000000001</v>
      </c>
      <c r="B38">
        <v>138.16999999999999</v>
      </c>
      <c r="C38">
        <v>150.84</v>
      </c>
      <c r="D38">
        <v>193.8</v>
      </c>
    </row>
    <row r="39" spans="1:4" x14ac:dyDescent="0.25">
      <c r="A39">
        <v>133.55000000000001</v>
      </c>
      <c r="B39">
        <v>139.30000000000001</v>
      </c>
      <c r="C39">
        <v>150.84</v>
      </c>
      <c r="D39">
        <v>189.13</v>
      </c>
    </row>
    <row r="40" spans="1:4" x14ac:dyDescent="0.25">
      <c r="A40">
        <v>134.52000000000001</v>
      </c>
      <c r="B40">
        <v>139.30000000000001</v>
      </c>
      <c r="C40">
        <v>148</v>
      </c>
      <c r="D40">
        <v>189.13</v>
      </c>
    </row>
    <row r="41" spans="1:4" x14ac:dyDescent="0.25">
      <c r="A41">
        <v>134.52000000000001</v>
      </c>
      <c r="B41">
        <v>140.93</v>
      </c>
      <c r="C41">
        <v>148</v>
      </c>
      <c r="D41">
        <v>188.29</v>
      </c>
    </row>
    <row r="42" spans="1:4" x14ac:dyDescent="0.25">
      <c r="A42">
        <v>134.52000000000001</v>
      </c>
      <c r="B42">
        <v>140.93</v>
      </c>
      <c r="C42">
        <v>145.44999999999999</v>
      </c>
      <c r="D42">
        <v>188.29</v>
      </c>
    </row>
    <row r="43" spans="1:4" x14ac:dyDescent="0.25">
      <c r="A43">
        <v>134.52000000000001</v>
      </c>
      <c r="B43">
        <v>139.25</v>
      </c>
      <c r="C43">
        <v>145.44999999999999</v>
      </c>
      <c r="D43">
        <v>201.42</v>
      </c>
    </row>
    <row r="44" spans="1:4" x14ac:dyDescent="0.25">
      <c r="A44">
        <v>133.6</v>
      </c>
      <c r="B44">
        <v>139.25</v>
      </c>
      <c r="C44">
        <v>149.29</v>
      </c>
      <c r="D44">
        <v>201.42</v>
      </c>
    </row>
    <row r="45" spans="1:4" x14ac:dyDescent="0.25">
      <c r="A45">
        <v>133.6</v>
      </c>
      <c r="B45">
        <v>144.32</v>
      </c>
      <c r="C45">
        <v>149.29</v>
      </c>
      <c r="D45">
        <v>189.56</v>
      </c>
    </row>
    <row r="46" spans="1:4" x14ac:dyDescent="0.25">
      <c r="A46">
        <v>134.85</v>
      </c>
      <c r="B46">
        <v>144.32</v>
      </c>
      <c r="C46">
        <v>146.6</v>
      </c>
      <c r="D46">
        <v>189.56</v>
      </c>
    </row>
    <row r="47" spans="1:4" x14ac:dyDescent="0.25">
      <c r="A47">
        <v>134.85</v>
      </c>
      <c r="B47">
        <v>138.28</v>
      </c>
      <c r="C47">
        <v>146.6</v>
      </c>
      <c r="D47">
        <v>190.44</v>
      </c>
    </row>
    <row r="48" spans="1:4" x14ac:dyDescent="0.25">
      <c r="A48">
        <v>138.65</v>
      </c>
      <c r="B48">
        <v>138.28</v>
      </c>
      <c r="C48">
        <v>147.71</v>
      </c>
      <c r="D48">
        <v>190.44</v>
      </c>
    </row>
    <row r="49" spans="1:4" x14ac:dyDescent="0.25">
      <c r="A49">
        <v>138.65</v>
      </c>
      <c r="B49">
        <v>140.49</v>
      </c>
      <c r="C49">
        <v>147.71</v>
      </c>
      <c r="D49">
        <v>198.04</v>
      </c>
    </row>
    <row r="50" spans="1:4" x14ac:dyDescent="0.25">
      <c r="A50">
        <v>151.4</v>
      </c>
      <c r="B50">
        <v>140.49</v>
      </c>
      <c r="C50">
        <v>152.62</v>
      </c>
      <c r="D50">
        <v>198.04</v>
      </c>
    </row>
    <row r="51" spans="1:4" x14ac:dyDescent="0.25">
      <c r="A51">
        <v>151.4</v>
      </c>
      <c r="B51">
        <v>139.24</v>
      </c>
      <c r="C51">
        <v>152.62</v>
      </c>
      <c r="D51">
        <v>187.07</v>
      </c>
    </row>
    <row r="52" spans="1:4" x14ac:dyDescent="0.25">
      <c r="A52">
        <v>132.47999999999999</v>
      </c>
      <c r="B52">
        <v>139.24</v>
      </c>
      <c r="C52">
        <v>146.88</v>
      </c>
      <c r="D52">
        <v>187.07</v>
      </c>
    </row>
    <row r="53" spans="1:4" x14ac:dyDescent="0.25">
      <c r="A53">
        <v>132.47999999999999</v>
      </c>
      <c r="B53">
        <v>140.05000000000001</v>
      </c>
      <c r="C53">
        <v>146.88</v>
      </c>
      <c r="D53">
        <v>187.34</v>
      </c>
    </row>
    <row r="54" spans="1:4" x14ac:dyDescent="0.25">
      <c r="A54">
        <v>137.55000000000001</v>
      </c>
      <c r="B54">
        <v>140.05000000000001</v>
      </c>
      <c r="C54">
        <v>145.46</v>
      </c>
      <c r="D54">
        <v>187.34</v>
      </c>
    </row>
    <row r="55" spans="1:4" x14ac:dyDescent="0.25">
      <c r="A55">
        <v>137.55000000000001</v>
      </c>
      <c r="B55">
        <v>138.71</v>
      </c>
      <c r="C55">
        <v>145.46</v>
      </c>
      <c r="D55">
        <v>191.51</v>
      </c>
    </row>
    <row r="56" spans="1:4" x14ac:dyDescent="0.25">
      <c r="A56">
        <v>134.69</v>
      </c>
      <c r="B56">
        <v>138.71</v>
      </c>
      <c r="C56">
        <v>157.86000000000001</v>
      </c>
      <c r="D56">
        <v>191.51</v>
      </c>
    </row>
    <row r="57" spans="1:4" x14ac:dyDescent="0.25">
      <c r="A57">
        <v>134.69</v>
      </c>
      <c r="B57">
        <v>140.52000000000001</v>
      </c>
      <c r="C57">
        <v>157.86000000000001</v>
      </c>
      <c r="D57">
        <v>187.61</v>
      </c>
    </row>
    <row r="58" spans="1:4" x14ac:dyDescent="0.25">
      <c r="A58">
        <v>134.46</v>
      </c>
      <c r="B58">
        <v>140.52000000000001</v>
      </c>
      <c r="C58">
        <v>145.79</v>
      </c>
      <c r="D58">
        <v>187.61</v>
      </c>
    </row>
    <row r="59" spans="1:4" x14ac:dyDescent="0.25">
      <c r="A59">
        <v>134.46</v>
      </c>
      <c r="B59">
        <v>142.12</v>
      </c>
      <c r="C59">
        <v>145.79</v>
      </c>
      <c r="D59">
        <v>188.05</v>
      </c>
    </row>
    <row r="60" spans="1:4" x14ac:dyDescent="0.25">
      <c r="A60">
        <v>147.1</v>
      </c>
      <c r="B60">
        <v>142.12</v>
      </c>
      <c r="C60">
        <v>146.82</v>
      </c>
      <c r="D60">
        <v>188.05</v>
      </c>
    </row>
    <row r="61" spans="1:4" x14ac:dyDescent="0.25">
      <c r="A61">
        <v>147.1</v>
      </c>
      <c r="B61">
        <v>146.22999999999999</v>
      </c>
      <c r="C61">
        <v>146.82</v>
      </c>
      <c r="D61">
        <v>197.25</v>
      </c>
    </row>
    <row r="62" spans="1:4" x14ac:dyDescent="0.25">
      <c r="A62">
        <v>135.24</v>
      </c>
      <c r="B62">
        <v>146.22999999999999</v>
      </c>
      <c r="C62">
        <v>150.35</v>
      </c>
      <c r="D62">
        <v>197.25</v>
      </c>
    </row>
    <row r="63" spans="1:4" x14ac:dyDescent="0.25">
      <c r="A63">
        <v>135.24</v>
      </c>
      <c r="B63">
        <v>141.74</v>
      </c>
      <c r="C63">
        <v>150.35</v>
      </c>
      <c r="D63">
        <v>188.12</v>
      </c>
    </row>
    <row r="64" spans="1:4" x14ac:dyDescent="0.25">
      <c r="A64">
        <v>132.79</v>
      </c>
      <c r="B64">
        <v>141.74</v>
      </c>
      <c r="C64">
        <v>147.19999999999999</v>
      </c>
      <c r="D64">
        <v>188.12</v>
      </c>
    </row>
    <row r="65" spans="1:4" x14ac:dyDescent="0.25">
      <c r="A65">
        <v>132.79</v>
      </c>
      <c r="B65">
        <v>138.58000000000001</v>
      </c>
      <c r="C65">
        <v>145.80000000000001</v>
      </c>
      <c r="D65">
        <v>188.71</v>
      </c>
    </row>
    <row r="66" spans="1:4" x14ac:dyDescent="0.25">
      <c r="A66">
        <v>138.28</v>
      </c>
      <c r="B66">
        <v>138.58000000000001</v>
      </c>
      <c r="C66">
        <v>145.80000000000001</v>
      </c>
      <c r="D66">
        <v>188.71</v>
      </c>
    </row>
    <row r="67" spans="1:4" x14ac:dyDescent="0.25">
      <c r="A67">
        <v>138.28</v>
      </c>
      <c r="B67">
        <v>138.52000000000001</v>
      </c>
      <c r="C67">
        <v>145.80000000000001</v>
      </c>
      <c r="D67">
        <v>197.46</v>
      </c>
    </row>
    <row r="68" spans="1:4" x14ac:dyDescent="0.25">
      <c r="A68">
        <v>135.27000000000001</v>
      </c>
      <c r="B68">
        <v>138.52000000000001</v>
      </c>
      <c r="C68">
        <v>154.76</v>
      </c>
      <c r="D68">
        <v>197.46</v>
      </c>
    </row>
    <row r="69" spans="1:4" x14ac:dyDescent="0.25">
      <c r="A69">
        <v>135.27000000000001</v>
      </c>
      <c r="B69">
        <v>138.82</v>
      </c>
      <c r="C69">
        <v>147.36000000000001</v>
      </c>
      <c r="D69">
        <v>188.69</v>
      </c>
    </row>
    <row r="70" spans="1:4" x14ac:dyDescent="0.25">
      <c r="A70">
        <v>150.36000000000001</v>
      </c>
      <c r="B70">
        <v>138.82</v>
      </c>
      <c r="C70">
        <v>147.36000000000001</v>
      </c>
      <c r="D70">
        <v>188.69</v>
      </c>
    </row>
    <row r="71" spans="1:4" x14ac:dyDescent="0.25">
      <c r="A71">
        <v>150.36000000000001</v>
      </c>
      <c r="B71">
        <v>138.76</v>
      </c>
      <c r="C71">
        <v>146.53</v>
      </c>
      <c r="D71">
        <v>187.63</v>
      </c>
    </row>
    <row r="72" spans="1:4" x14ac:dyDescent="0.25">
      <c r="A72">
        <v>132.63</v>
      </c>
      <c r="B72">
        <v>143.32</v>
      </c>
      <c r="C72">
        <v>146.53</v>
      </c>
      <c r="D72">
        <v>187.63</v>
      </c>
    </row>
    <row r="73" spans="1:4" x14ac:dyDescent="0.25">
      <c r="A73">
        <v>132.63</v>
      </c>
      <c r="B73">
        <v>143.32</v>
      </c>
      <c r="C73">
        <v>157.25</v>
      </c>
      <c r="D73">
        <v>191.68</v>
      </c>
    </row>
    <row r="74" spans="1:4" x14ac:dyDescent="0.25">
      <c r="A74">
        <v>133.44</v>
      </c>
      <c r="B74">
        <v>137.79</v>
      </c>
      <c r="C74">
        <v>157.25</v>
      </c>
      <c r="D74">
        <v>191.68</v>
      </c>
    </row>
    <row r="75" spans="1:4" x14ac:dyDescent="0.25">
      <c r="A75">
        <v>133.44</v>
      </c>
      <c r="B75">
        <v>137.79</v>
      </c>
      <c r="C75">
        <v>147.08000000000001</v>
      </c>
      <c r="D75">
        <v>193.65</v>
      </c>
    </row>
    <row r="76" spans="1:4" x14ac:dyDescent="0.25">
      <c r="A76">
        <v>132.75</v>
      </c>
      <c r="B76">
        <v>149.69999999999999</v>
      </c>
      <c r="C76">
        <v>147.08000000000001</v>
      </c>
      <c r="D76">
        <v>193.65</v>
      </c>
    </row>
    <row r="77" spans="1:4" x14ac:dyDescent="0.25">
      <c r="A77">
        <v>132.75</v>
      </c>
      <c r="B77">
        <v>149.69999999999999</v>
      </c>
      <c r="C77">
        <v>146.63999999999999</v>
      </c>
      <c r="D77">
        <v>188.81</v>
      </c>
    </row>
    <row r="78" spans="1:4" x14ac:dyDescent="0.25">
      <c r="A78">
        <v>135.35</v>
      </c>
      <c r="B78">
        <v>145.94</v>
      </c>
      <c r="C78">
        <v>146.63999999999999</v>
      </c>
      <c r="D78">
        <v>188.81</v>
      </c>
    </row>
    <row r="79" spans="1:4" x14ac:dyDescent="0.25">
      <c r="A79">
        <v>135.35</v>
      </c>
      <c r="B79">
        <v>145.94</v>
      </c>
      <c r="C79">
        <v>152.84</v>
      </c>
      <c r="D79">
        <v>190.26</v>
      </c>
    </row>
    <row r="80" spans="1:4" x14ac:dyDescent="0.25">
      <c r="A80">
        <v>166.22</v>
      </c>
      <c r="B80">
        <v>136.87</v>
      </c>
      <c r="C80">
        <v>152.84</v>
      </c>
      <c r="D80">
        <v>190.26</v>
      </c>
    </row>
    <row r="81" spans="1:4" x14ac:dyDescent="0.25">
      <c r="A81">
        <v>166.22</v>
      </c>
      <c r="B81">
        <v>136.87</v>
      </c>
      <c r="C81">
        <v>150.07</v>
      </c>
      <c r="D81">
        <v>194.54</v>
      </c>
    </row>
    <row r="82" spans="1:4" x14ac:dyDescent="0.25">
      <c r="A82">
        <v>139.91</v>
      </c>
      <c r="B82">
        <v>140.78</v>
      </c>
      <c r="C82">
        <v>150.07</v>
      </c>
      <c r="D82">
        <v>194.54</v>
      </c>
    </row>
    <row r="83" spans="1:4" x14ac:dyDescent="0.25">
      <c r="A83">
        <v>139.91</v>
      </c>
      <c r="B83">
        <v>140.78</v>
      </c>
      <c r="C83">
        <v>146.9</v>
      </c>
      <c r="D83">
        <v>187.51</v>
      </c>
    </row>
    <row r="84" spans="1:4" x14ac:dyDescent="0.25">
      <c r="A84">
        <v>131.86000000000001</v>
      </c>
      <c r="B84">
        <v>142.44</v>
      </c>
      <c r="C84">
        <v>146.9</v>
      </c>
      <c r="D84">
        <v>187.51</v>
      </c>
    </row>
    <row r="85" spans="1:4" x14ac:dyDescent="0.25">
      <c r="A85">
        <v>131.86000000000001</v>
      </c>
      <c r="B85">
        <v>142.44</v>
      </c>
      <c r="C85">
        <v>155.55000000000001</v>
      </c>
      <c r="D85">
        <v>191.3</v>
      </c>
    </row>
    <row r="86" spans="1:4" x14ac:dyDescent="0.25">
      <c r="A86">
        <v>134.62</v>
      </c>
      <c r="B86">
        <v>137.63999999999999</v>
      </c>
      <c r="C86">
        <v>155.55000000000001</v>
      </c>
      <c r="D86">
        <v>191.3</v>
      </c>
    </row>
    <row r="87" spans="1:4" x14ac:dyDescent="0.25">
      <c r="A87">
        <v>134.62</v>
      </c>
      <c r="B87">
        <v>137.63999999999999</v>
      </c>
      <c r="C87">
        <v>155.85</v>
      </c>
      <c r="D87">
        <v>195.32</v>
      </c>
    </row>
    <row r="88" spans="1:4" x14ac:dyDescent="0.25">
      <c r="A88">
        <v>134.09</v>
      </c>
      <c r="B88">
        <v>139.76</v>
      </c>
      <c r="C88">
        <v>155.85</v>
      </c>
      <c r="D88">
        <v>195.32</v>
      </c>
    </row>
    <row r="89" spans="1:4" x14ac:dyDescent="0.25">
      <c r="A89">
        <v>134.09</v>
      </c>
      <c r="B89">
        <v>139.76</v>
      </c>
      <c r="C89">
        <v>149.52000000000001</v>
      </c>
      <c r="D89">
        <v>186.82</v>
      </c>
    </row>
    <row r="90" spans="1:4" x14ac:dyDescent="0.25">
      <c r="A90">
        <v>134.47</v>
      </c>
      <c r="B90">
        <v>145.96</v>
      </c>
      <c r="C90">
        <v>149.52000000000001</v>
      </c>
      <c r="D90">
        <v>186.82</v>
      </c>
    </row>
    <row r="91" spans="1:4" x14ac:dyDescent="0.25">
      <c r="A91">
        <v>134.47</v>
      </c>
      <c r="B91">
        <v>145.96</v>
      </c>
      <c r="C91">
        <v>150.96</v>
      </c>
      <c r="D91">
        <v>187.97</v>
      </c>
    </row>
    <row r="92" spans="1:4" x14ac:dyDescent="0.25">
      <c r="A92">
        <v>136.22</v>
      </c>
      <c r="B92">
        <v>143.57</v>
      </c>
      <c r="C92">
        <v>150.96</v>
      </c>
      <c r="D92">
        <v>187.97</v>
      </c>
    </row>
    <row r="93" spans="1:4" x14ac:dyDescent="0.25">
      <c r="A93">
        <v>136.22</v>
      </c>
      <c r="B93">
        <v>143.57</v>
      </c>
      <c r="C93">
        <v>147.86000000000001</v>
      </c>
      <c r="D93">
        <v>191.91</v>
      </c>
    </row>
    <row r="94" spans="1:4" x14ac:dyDescent="0.25">
      <c r="A94">
        <v>134.26</v>
      </c>
      <c r="B94">
        <v>142.26</v>
      </c>
      <c r="C94">
        <v>147.86000000000001</v>
      </c>
      <c r="D94">
        <v>191.91</v>
      </c>
    </row>
    <row r="95" spans="1:4" x14ac:dyDescent="0.25">
      <c r="A95">
        <v>134.26</v>
      </c>
      <c r="B95">
        <v>142.26</v>
      </c>
      <c r="C95">
        <v>147.38</v>
      </c>
      <c r="D95">
        <v>186.38</v>
      </c>
    </row>
    <row r="96" spans="1:4" x14ac:dyDescent="0.25">
      <c r="A96">
        <v>132.33000000000001</v>
      </c>
      <c r="B96">
        <v>142.68</v>
      </c>
      <c r="C96">
        <v>147.38</v>
      </c>
      <c r="D96">
        <v>186.38</v>
      </c>
    </row>
    <row r="97" spans="1:4" x14ac:dyDescent="0.25">
      <c r="A97">
        <v>132.33000000000001</v>
      </c>
      <c r="B97">
        <v>142.68</v>
      </c>
      <c r="C97">
        <v>152.85</v>
      </c>
      <c r="D97">
        <v>196.3</v>
      </c>
    </row>
    <row r="98" spans="1:4" x14ac:dyDescent="0.25">
      <c r="A98">
        <v>140.74</v>
      </c>
      <c r="B98">
        <v>139.05000000000001</v>
      </c>
      <c r="C98">
        <v>152.85</v>
      </c>
      <c r="D98">
        <v>196.3</v>
      </c>
    </row>
    <row r="99" spans="1:4" x14ac:dyDescent="0.25">
      <c r="A99">
        <v>140.74</v>
      </c>
      <c r="B99">
        <v>139.05000000000001</v>
      </c>
      <c r="C99">
        <v>158.9</v>
      </c>
      <c r="D99">
        <v>195.76</v>
      </c>
    </row>
    <row r="100" spans="1:4" x14ac:dyDescent="0.25">
      <c r="A100">
        <v>141.93</v>
      </c>
      <c r="B100">
        <v>140.66</v>
      </c>
      <c r="C100">
        <v>158.9</v>
      </c>
      <c r="D100">
        <v>195.76</v>
      </c>
    </row>
    <row r="101" spans="1:4" x14ac:dyDescent="0.25">
      <c r="A101">
        <v>141.93</v>
      </c>
      <c r="B101">
        <v>140.66</v>
      </c>
      <c r="C101">
        <v>148.19999999999999</v>
      </c>
      <c r="D101">
        <v>186.11</v>
      </c>
    </row>
    <row r="102" spans="1:4" x14ac:dyDescent="0.25">
      <c r="A102">
        <v>130.97999999999999</v>
      </c>
      <c r="B102">
        <v>146.5</v>
      </c>
      <c r="C102">
        <v>148.19999999999999</v>
      </c>
      <c r="D102">
        <v>186.11</v>
      </c>
    </row>
    <row r="103" spans="1:4" x14ac:dyDescent="0.25">
      <c r="A103">
        <v>130.97999999999999</v>
      </c>
      <c r="B103">
        <v>146.5</v>
      </c>
      <c r="C103">
        <v>151.47999999999999</v>
      </c>
      <c r="D103">
        <v>185.92</v>
      </c>
    </row>
    <row r="104" spans="1:4" x14ac:dyDescent="0.25">
      <c r="A104">
        <v>136.66</v>
      </c>
      <c r="B104">
        <v>139.94</v>
      </c>
      <c r="C104">
        <v>151.47999999999999</v>
      </c>
      <c r="D104">
        <v>185.92</v>
      </c>
    </row>
    <row r="105" spans="1:4" x14ac:dyDescent="0.25">
      <c r="A105">
        <v>136.66</v>
      </c>
      <c r="B105">
        <v>139.94</v>
      </c>
      <c r="C105">
        <v>155.79</v>
      </c>
      <c r="D105">
        <v>191.67</v>
      </c>
    </row>
    <row r="106" spans="1:4" x14ac:dyDescent="0.25">
      <c r="A106">
        <v>136.63999999999999</v>
      </c>
      <c r="B106">
        <v>140.22999999999999</v>
      </c>
      <c r="C106">
        <v>155.79</v>
      </c>
      <c r="D106">
        <v>191.67</v>
      </c>
    </row>
    <row r="107" spans="1:4" x14ac:dyDescent="0.25">
      <c r="A107">
        <v>136.63999999999999</v>
      </c>
      <c r="B107">
        <v>140.22999999999999</v>
      </c>
      <c r="C107">
        <v>147.65</v>
      </c>
      <c r="D107">
        <v>190.32</v>
      </c>
    </row>
    <row r="108" spans="1:4" x14ac:dyDescent="0.25">
      <c r="A108">
        <v>132.30000000000001</v>
      </c>
      <c r="B108">
        <v>141.80000000000001</v>
      </c>
      <c r="C108">
        <v>147.65</v>
      </c>
      <c r="D108">
        <v>190.32</v>
      </c>
    </row>
    <row r="109" spans="1:4" x14ac:dyDescent="0.25">
      <c r="A109">
        <v>132.30000000000001</v>
      </c>
      <c r="B109">
        <v>141.80000000000001</v>
      </c>
      <c r="C109">
        <v>149.22</v>
      </c>
      <c r="D109">
        <v>188.55</v>
      </c>
    </row>
    <row r="110" spans="1:4" x14ac:dyDescent="0.25">
      <c r="A110">
        <v>143.41</v>
      </c>
      <c r="B110">
        <v>143.26</v>
      </c>
      <c r="C110">
        <v>149.22</v>
      </c>
      <c r="D110">
        <v>188.55</v>
      </c>
    </row>
    <row r="111" spans="1:4" x14ac:dyDescent="0.25">
      <c r="A111">
        <v>143.41</v>
      </c>
      <c r="B111">
        <v>143.26</v>
      </c>
      <c r="C111">
        <v>158.86000000000001</v>
      </c>
      <c r="D111">
        <v>198.74</v>
      </c>
    </row>
    <row r="112" spans="1:4" x14ac:dyDescent="0.25">
      <c r="A112">
        <v>134.24</v>
      </c>
      <c r="B112">
        <v>147.57</v>
      </c>
      <c r="C112">
        <v>158.86000000000001</v>
      </c>
      <c r="D112">
        <v>198.74</v>
      </c>
    </row>
    <row r="113" spans="1:4" x14ac:dyDescent="0.25">
      <c r="A113">
        <v>134.24</v>
      </c>
      <c r="B113">
        <v>147.57</v>
      </c>
      <c r="C113">
        <v>146.05000000000001</v>
      </c>
      <c r="D113">
        <v>187.99</v>
      </c>
    </row>
    <row r="114" spans="1:4" x14ac:dyDescent="0.25">
      <c r="A114">
        <v>132.68</v>
      </c>
      <c r="B114">
        <v>144.72</v>
      </c>
      <c r="C114">
        <v>146.05000000000001</v>
      </c>
      <c r="D114">
        <v>187.99</v>
      </c>
    </row>
    <row r="115" spans="1:4" x14ac:dyDescent="0.25">
      <c r="A115">
        <v>132.68</v>
      </c>
      <c r="B115">
        <v>144.72</v>
      </c>
      <c r="C115">
        <v>147.63</v>
      </c>
      <c r="D115">
        <v>187.16</v>
      </c>
    </row>
    <row r="116" spans="1:4" x14ac:dyDescent="0.25">
      <c r="A116">
        <v>138.41</v>
      </c>
      <c r="B116">
        <v>141.55000000000001</v>
      </c>
      <c r="C116">
        <v>147.63</v>
      </c>
      <c r="D116">
        <v>187.16</v>
      </c>
    </row>
    <row r="117" spans="1:4" x14ac:dyDescent="0.25">
      <c r="A117">
        <v>138.41</v>
      </c>
      <c r="B117">
        <v>141.55000000000001</v>
      </c>
      <c r="C117">
        <v>156.44</v>
      </c>
      <c r="D117">
        <v>196.87</v>
      </c>
    </row>
    <row r="118" spans="1:4" x14ac:dyDescent="0.25">
      <c r="A118">
        <v>138.1</v>
      </c>
      <c r="B118">
        <v>139.05000000000001</v>
      </c>
      <c r="C118">
        <v>156.44</v>
      </c>
      <c r="D118">
        <v>196.87</v>
      </c>
    </row>
    <row r="119" spans="1:4" x14ac:dyDescent="0.25">
      <c r="A119">
        <v>138.1</v>
      </c>
      <c r="B119">
        <v>139.05000000000001</v>
      </c>
      <c r="C119">
        <v>147.57</v>
      </c>
      <c r="D119">
        <v>186.96</v>
      </c>
    </row>
    <row r="120" spans="1:4" x14ac:dyDescent="0.25">
      <c r="A120">
        <v>139.69999999999999</v>
      </c>
      <c r="B120">
        <v>139.61000000000001</v>
      </c>
      <c r="C120">
        <v>147.57</v>
      </c>
      <c r="D120">
        <v>186.96</v>
      </c>
    </row>
    <row r="121" spans="1:4" x14ac:dyDescent="0.25">
      <c r="A121">
        <v>139.69999999999999</v>
      </c>
      <c r="B121">
        <v>139.61000000000001</v>
      </c>
      <c r="C121">
        <v>149.22999999999999</v>
      </c>
      <c r="D121">
        <v>187.96</v>
      </c>
    </row>
    <row r="122" spans="1:4" x14ac:dyDescent="0.25">
      <c r="A122">
        <v>135.93</v>
      </c>
      <c r="B122">
        <v>140.38999999999999</v>
      </c>
      <c r="C122">
        <v>149.22999999999999</v>
      </c>
      <c r="D122">
        <v>187.96</v>
      </c>
    </row>
    <row r="123" spans="1:4" x14ac:dyDescent="0.25">
      <c r="B123">
        <v>140.38999999999999</v>
      </c>
      <c r="D123">
        <v>192.63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2BDD-F3A0-9242-881B-FDC519614EE9}">
  <dimension ref="A1:I123"/>
  <sheetViews>
    <sheetView zoomScale="140" workbookViewId="0">
      <selection activeCell="I6" sqref="I6"/>
    </sheetView>
  </sheetViews>
  <sheetFormatPr baseColWidth="10" defaultRowHeight="15.75" x14ac:dyDescent="0.25"/>
  <sheetData>
    <row r="1" spans="1:9" x14ac:dyDescent="0.25">
      <c r="A1" t="s">
        <v>13</v>
      </c>
      <c r="B1" t="s">
        <v>12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18</v>
      </c>
    </row>
    <row r="2" spans="1:9" x14ac:dyDescent="0.25">
      <c r="A2">
        <v>104.61</v>
      </c>
      <c r="B2">
        <v>113.36</v>
      </c>
      <c r="C2">
        <v>106.08</v>
      </c>
      <c r="D2">
        <v>112.61</v>
      </c>
      <c r="E2">
        <v>106.71</v>
      </c>
      <c r="F2" t="s">
        <v>1</v>
      </c>
      <c r="G2">
        <f>AVERAGE(A:A)</f>
        <v>110.33314049586777</v>
      </c>
      <c r="H2">
        <f>AVERAGE(13,14)</f>
        <v>13.5</v>
      </c>
      <c r="I2">
        <f t="shared" ref="I2:I6" si="0">G2-H2</f>
        <v>96.833140495867767</v>
      </c>
    </row>
    <row r="3" spans="1:9" x14ac:dyDescent="0.25">
      <c r="A3">
        <v>119.09</v>
      </c>
      <c r="B3">
        <v>113.36</v>
      </c>
      <c r="C3">
        <v>115.83</v>
      </c>
      <c r="D3">
        <v>113.21</v>
      </c>
      <c r="E3">
        <v>106.71</v>
      </c>
      <c r="F3" t="s">
        <v>3</v>
      </c>
      <c r="G3">
        <f>AVERAGE(B:B)</f>
        <v>110.90724999999998</v>
      </c>
      <c r="H3">
        <f>AVERAGE(13,14)</f>
        <v>13.5</v>
      </c>
      <c r="I3">
        <f t="shared" si="0"/>
        <v>97.407249999999976</v>
      </c>
    </row>
    <row r="4" spans="1:9" x14ac:dyDescent="0.25">
      <c r="A4">
        <v>119.09</v>
      </c>
      <c r="B4">
        <v>140.97</v>
      </c>
      <c r="C4">
        <v>115.83</v>
      </c>
      <c r="D4">
        <v>113.21</v>
      </c>
      <c r="E4">
        <v>126.86</v>
      </c>
      <c r="F4" t="s">
        <v>2</v>
      </c>
      <c r="G4">
        <f>AVERAGE(C:C)</f>
        <v>110.79572649572651</v>
      </c>
      <c r="H4">
        <v>14</v>
      </c>
      <c r="I4">
        <f t="shared" si="0"/>
        <v>96.795726495726512</v>
      </c>
    </row>
    <row r="5" spans="1:9" x14ac:dyDescent="0.25">
      <c r="A5">
        <v>111.24</v>
      </c>
      <c r="B5">
        <v>140.97</v>
      </c>
      <c r="C5">
        <v>126.67</v>
      </c>
      <c r="D5">
        <v>107.71</v>
      </c>
      <c r="E5">
        <v>126.86</v>
      </c>
      <c r="F5" t="s">
        <v>4</v>
      </c>
      <c r="G5">
        <f>AVERAGE(D:D)</f>
        <v>112.42743801652897</v>
      </c>
      <c r="H5">
        <v>15</v>
      </c>
      <c r="I5">
        <f t="shared" si="0"/>
        <v>97.427438016528967</v>
      </c>
    </row>
    <row r="6" spans="1:9" x14ac:dyDescent="0.25">
      <c r="A6">
        <v>111.24</v>
      </c>
      <c r="B6">
        <v>104.63</v>
      </c>
      <c r="C6">
        <v>126.67</v>
      </c>
      <c r="D6">
        <v>107.71</v>
      </c>
      <c r="E6">
        <v>113.06</v>
      </c>
      <c r="F6" t="s">
        <v>5</v>
      </c>
      <c r="G6">
        <f>AVERAGE(E:E)</f>
        <v>112.47360655737704</v>
      </c>
      <c r="H6">
        <v>15</v>
      </c>
      <c r="I6">
        <f t="shared" si="0"/>
        <v>97.473606557377039</v>
      </c>
    </row>
    <row r="7" spans="1:9" x14ac:dyDescent="0.25">
      <c r="A7">
        <v>104.47</v>
      </c>
      <c r="B7">
        <v>104.63</v>
      </c>
      <c r="C7">
        <v>106.02</v>
      </c>
      <c r="D7">
        <v>111.36</v>
      </c>
      <c r="E7">
        <v>113.06</v>
      </c>
    </row>
    <row r="8" spans="1:9" x14ac:dyDescent="0.25">
      <c r="A8">
        <v>104.47</v>
      </c>
      <c r="B8">
        <v>106.07</v>
      </c>
      <c r="C8">
        <v>106.02</v>
      </c>
      <c r="D8">
        <v>111.36</v>
      </c>
      <c r="E8">
        <v>107.27</v>
      </c>
    </row>
    <row r="9" spans="1:9" x14ac:dyDescent="0.25">
      <c r="A9">
        <v>104.11</v>
      </c>
      <c r="B9">
        <v>106.07</v>
      </c>
      <c r="C9">
        <v>115.36</v>
      </c>
      <c r="D9">
        <v>106.06</v>
      </c>
      <c r="E9">
        <v>107.27</v>
      </c>
    </row>
    <row r="10" spans="1:9" x14ac:dyDescent="0.25">
      <c r="A10">
        <v>104.11</v>
      </c>
      <c r="B10">
        <v>106.24</v>
      </c>
      <c r="C10">
        <v>115.36</v>
      </c>
      <c r="D10">
        <v>106.06</v>
      </c>
      <c r="E10">
        <v>107.86</v>
      </c>
    </row>
    <row r="11" spans="1:9" x14ac:dyDescent="0.25">
      <c r="A11">
        <v>109.71</v>
      </c>
      <c r="B11">
        <v>106.24</v>
      </c>
      <c r="C11">
        <v>104.88</v>
      </c>
      <c r="D11">
        <v>105.57</v>
      </c>
      <c r="E11">
        <v>107.86</v>
      </c>
    </row>
    <row r="12" spans="1:9" x14ac:dyDescent="0.25">
      <c r="A12">
        <v>109.71</v>
      </c>
      <c r="B12">
        <v>105.21</v>
      </c>
      <c r="C12">
        <v>104.88</v>
      </c>
      <c r="D12">
        <v>105.57</v>
      </c>
      <c r="E12">
        <v>107.77</v>
      </c>
    </row>
    <row r="13" spans="1:9" x14ac:dyDescent="0.25">
      <c r="A13">
        <v>121.33</v>
      </c>
      <c r="B13">
        <v>105.21</v>
      </c>
      <c r="C13">
        <v>105.69</v>
      </c>
      <c r="D13">
        <v>125.61</v>
      </c>
      <c r="E13">
        <v>107.77</v>
      </c>
    </row>
    <row r="14" spans="1:9" x14ac:dyDescent="0.25">
      <c r="A14">
        <v>121.33</v>
      </c>
      <c r="B14">
        <v>125.06</v>
      </c>
      <c r="C14">
        <v>105.69</v>
      </c>
      <c r="D14">
        <v>125.61</v>
      </c>
      <c r="E14">
        <v>128.91</v>
      </c>
    </row>
    <row r="15" spans="1:9" x14ac:dyDescent="0.25">
      <c r="A15">
        <v>104.4</v>
      </c>
      <c r="B15">
        <v>115.7</v>
      </c>
      <c r="C15">
        <v>136.43</v>
      </c>
      <c r="D15">
        <v>105.02</v>
      </c>
      <c r="E15">
        <v>128.91</v>
      </c>
    </row>
    <row r="16" spans="1:9" x14ac:dyDescent="0.25">
      <c r="A16">
        <v>104.4</v>
      </c>
      <c r="B16">
        <v>115.7</v>
      </c>
      <c r="C16">
        <v>136.43</v>
      </c>
      <c r="D16">
        <v>105.02</v>
      </c>
      <c r="E16">
        <v>109.19</v>
      </c>
    </row>
    <row r="17" spans="1:5" x14ac:dyDescent="0.25">
      <c r="A17">
        <v>108.58</v>
      </c>
      <c r="B17">
        <v>104.61</v>
      </c>
      <c r="C17">
        <v>106.13</v>
      </c>
      <c r="D17">
        <v>104.98</v>
      </c>
      <c r="E17">
        <v>109.19</v>
      </c>
    </row>
    <row r="18" spans="1:5" x14ac:dyDescent="0.25">
      <c r="A18">
        <v>108.58</v>
      </c>
      <c r="B18">
        <v>104.61</v>
      </c>
      <c r="C18">
        <v>106.13</v>
      </c>
      <c r="D18">
        <v>104.98</v>
      </c>
      <c r="E18">
        <v>110.09</v>
      </c>
    </row>
    <row r="19" spans="1:5" x14ac:dyDescent="0.25">
      <c r="A19">
        <v>109.64</v>
      </c>
      <c r="B19">
        <v>105.07</v>
      </c>
      <c r="C19">
        <v>105.24</v>
      </c>
      <c r="D19">
        <v>112.08</v>
      </c>
      <c r="E19">
        <v>110.09</v>
      </c>
    </row>
    <row r="20" spans="1:5" x14ac:dyDescent="0.25">
      <c r="A20">
        <v>109.64</v>
      </c>
      <c r="B20">
        <v>105.07</v>
      </c>
      <c r="C20">
        <v>105.24</v>
      </c>
      <c r="D20">
        <v>112.08</v>
      </c>
      <c r="E20">
        <v>109.36</v>
      </c>
    </row>
    <row r="21" spans="1:5" x14ac:dyDescent="0.25">
      <c r="A21">
        <v>103.97</v>
      </c>
      <c r="B21">
        <v>112.83</v>
      </c>
      <c r="C21">
        <v>115.84</v>
      </c>
      <c r="D21">
        <v>114.38</v>
      </c>
      <c r="E21">
        <v>109.36</v>
      </c>
    </row>
    <row r="22" spans="1:5" x14ac:dyDescent="0.25">
      <c r="A22">
        <v>103.97</v>
      </c>
      <c r="B22">
        <v>112.83</v>
      </c>
      <c r="C22">
        <v>115.84</v>
      </c>
      <c r="D22">
        <v>114.38</v>
      </c>
      <c r="E22">
        <v>106.71</v>
      </c>
    </row>
    <row r="23" spans="1:5" x14ac:dyDescent="0.25">
      <c r="A23">
        <v>126.09</v>
      </c>
      <c r="B23">
        <v>115.42</v>
      </c>
      <c r="C23">
        <v>106.1</v>
      </c>
      <c r="D23">
        <v>123.06</v>
      </c>
      <c r="E23">
        <v>106.71</v>
      </c>
    </row>
    <row r="24" spans="1:5" x14ac:dyDescent="0.25">
      <c r="A24">
        <v>126.09</v>
      </c>
      <c r="B24">
        <v>115.42</v>
      </c>
      <c r="C24">
        <v>106.1</v>
      </c>
      <c r="D24">
        <v>123.06</v>
      </c>
      <c r="E24">
        <v>133.26</v>
      </c>
    </row>
    <row r="25" spans="1:5" x14ac:dyDescent="0.25">
      <c r="A25">
        <v>104.23</v>
      </c>
      <c r="B25">
        <v>104.6</v>
      </c>
      <c r="C25">
        <v>131.63999999999999</v>
      </c>
      <c r="D25">
        <v>110.1</v>
      </c>
      <c r="E25">
        <v>133.26</v>
      </c>
    </row>
    <row r="26" spans="1:5" x14ac:dyDescent="0.25">
      <c r="A26">
        <v>104.23</v>
      </c>
      <c r="B26">
        <v>104.6</v>
      </c>
      <c r="C26">
        <v>131.63999999999999</v>
      </c>
      <c r="D26">
        <v>105.86</v>
      </c>
      <c r="E26">
        <v>105.22</v>
      </c>
    </row>
    <row r="27" spans="1:5" x14ac:dyDescent="0.25">
      <c r="A27">
        <v>104.2</v>
      </c>
      <c r="B27">
        <v>110.72</v>
      </c>
      <c r="C27">
        <v>108.79</v>
      </c>
      <c r="D27">
        <v>105.86</v>
      </c>
      <c r="E27">
        <v>105.22</v>
      </c>
    </row>
    <row r="28" spans="1:5" x14ac:dyDescent="0.25">
      <c r="A28">
        <v>104.2</v>
      </c>
      <c r="B28">
        <v>110.72</v>
      </c>
      <c r="C28">
        <v>108.79</v>
      </c>
      <c r="D28">
        <v>105.86</v>
      </c>
      <c r="E28">
        <v>106.47</v>
      </c>
    </row>
    <row r="29" spans="1:5" x14ac:dyDescent="0.25">
      <c r="A29">
        <v>105.35</v>
      </c>
      <c r="B29">
        <v>104.81</v>
      </c>
      <c r="C29">
        <v>105.75</v>
      </c>
      <c r="D29">
        <v>106.41</v>
      </c>
      <c r="E29">
        <v>106.47</v>
      </c>
    </row>
    <row r="30" spans="1:5" x14ac:dyDescent="0.25">
      <c r="A30">
        <v>105.35</v>
      </c>
      <c r="B30">
        <v>104.81</v>
      </c>
      <c r="C30">
        <v>105.75</v>
      </c>
      <c r="D30">
        <v>107.09</v>
      </c>
      <c r="E30">
        <v>109.25</v>
      </c>
    </row>
    <row r="31" spans="1:5" x14ac:dyDescent="0.25">
      <c r="A31">
        <v>109.77</v>
      </c>
      <c r="B31">
        <v>104.82</v>
      </c>
      <c r="C31">
        <v>106.09</v>
      </c>
      <c r="D31">
        <v>107.09</v>
      </c>
      <c r="E31">
        <v>109.25</v>
      </c>
    </row>
    <row r="32" spans="1:5" x14ac:dyDescent="0.25">
      <c r="A32">
        <v>109.77</v>
      </c>
      <c r="B32">
        <v>104.82</v>
      </c>
      <c r="C32">
        <v>106.09</v>
      </c>
      <c r="D32">
        <v>137.87</v>
      </c>
      <c r="E32">
        <v>107.1</v>
      </c>
    </row>
    <row r="33" spans="1:5" x14ac:dyDescent="0.25">
      <c r="A33">
        <v>124.35</v>
      </c>
      <c r="B33">
        <v>126.64</v>
      </c>
      <c r="C33">
        <v>110.66</v>
      </c>
      <c r="D33">
        <v>137.87</v>
      </c>
      <c r="E33">
        <v>107.1</v>
      </c>
    </row>
    <row r="34" spans="1:5" x14ac:dyDescent="0.25">
      <c r="A34">
        <v>124.35</v>
      </c>
      <c r="B34">
        <v>126.64</v>
      </c>
      <c r="C34">
        <v>110.66</v>
      </c>
      <c r="D34">
        <v>105.91</v>
      </c>
      <c r="E34">
        <v>132.66</v>
      </c>
    </row>
    <row r="35" spans="1:5" x14ac:dyDescent="0.25">
      <c r="A35">
        <v>106.21</v>
      </c>
      <c r="B35">
        <v>103.89</v>
      </c>
      <c r="C35">
        <v>115.19</v>
      </c>
      <c r="D35">
        <v>105.91</v>
      </c>
      <c r="E35">
        <v>132.66</v>
      </c>
    </row>
    <row r="36" spans="1:5" x14ac:dyDescent="0.25">
      <c r="A36">
        <v>106.21</v>
      </c>
      <c r="B36">
        <v>103.89</v>
      </c>
      <c r="C36">
        <v>115.19</v>
      </c>
      <c r="D36">
        <v>110.97</v>
      </c>
      <c r="E36">
        <v>114.43</v>
      </c>
    </row>
    <row r="37" spans="1:5" x14ac:dyDescent="0.25">
      <c r="A37">
        <v>108.45</v>
      </c>
      <c r="B37">
        <v>104.36</v>
      </c>
      <c r="C37">
        <v>105.09</v>
      </c>
      <c r="D37">
        <v>110.97</v>
      </c>
      <c r="E37">
        <v>114.43</v>
      </c>
    </row>
    <row r="38" spans="1:5" x14ac:dyDescent="0.25">
      <c r="A38">
        <v>108.45</v>
      </c>
      <c r="B38">
        <v>104.36</v>
      </c>
      <c r="C38">
        <v>105.09</v>
      </c>
      <c r="D38">
        <v>110.97</v>
      </c>
      <c r="E38">
        <v>111.66</v>
      </c>
    </row>
    <row r="39" spans="1:5" x14ac:dyDescent="0.25">
      <c r="A39">
        <v>104.69</v>
      </c>
      <c r="B39">
        <v>109.67</v>
      </c>
      <c r="C39">
        <v>105.99</v>
      </c>
      <c r="D39">
        <v>110.97</v>
      </c>
      <c r="E39">
        <v>111.66</v>
      </c>
    </row>
    <row r="40" spans="1:5" x14ac:dyDescent="0.25">
      <c r="A40">
        <v>104.69</v>
      </c>
      <c r="B40">
        <v>109.67</v>
      </c>
      <c r="C40">
        <v>105.99</v>
      </c>
      <c r="D40">
        <v>106.78</v>
      </c>
      <c r="E40">
        <v>106.63</v>
      </c>
    </row>
    <row r="41" spans="1:5" x14ac:dyDescent="0.25">
      <c r="A41">
        <v>103.13</v>
      </c>
      <c r="B41">
        <v>104.69</v>
      </c>
      <c r="C41">
        <v>111.13</v>
      </c>
      <c r="D41">
        <v>106.78</v>
      </c>
      <c r="E41">
        <v>106.63</v>
      </c>
    </row>
    <row r="42" spans="1:5" x14ac:dyDescent="0.25">
      <c r="A42">
        <v>103.13</v>
      </c>
      <c r="B42">
        <v>104.69</v>
      </c>
      <c r="C42">
        <v>111.13</v>
      </c>
      <c r="D42">
        <v>131.31</v>
      </c>
      <c r="E42">
        <v>108.91</v>
      </c>
    </row>
    <row r="43" spans="1:5" x14ac:dyDescent="0.25">
      <c r="A43">
        <v>132.35</v>
      </c>
      <c r="B43">
        <v>119.31</v>
      </c>
      <c r="C43">
        <v>104.7</v>
      </c>
      <c r="D43">
        <v>131.31</v>
      </c>
      <c r="E43">
        <v>108.91</v>
      </c>
    </row>
    <row r="44" spans="1:5" x14ac:dyDescent="0.25">
      <c r="A44">
        <v>132.35</v>
      </c>
      <c r="B44">
        <v>119.31</v>
      </c>
      <c r="C44">
        <v>104.7</v>
      </c>
      <c r="D44">
        <v>111.06</v>
      </c>
      <c r="E44">
        <v>114.2</v>
      </c>
    </row>
    <row r="45" spans="1:5" x14ac:dyDescent="0.25">
      <c r="A45">
        <v>103.57</v>
      </c>
      <c r="B45">
        <v>109.03</v>
      </c>
      <c r="C45">
        <v>120.73</v>
      </c>
      <c r="D45">
        <v>111.06</v>
      </c>
      <c r="E45">
        <v>114.2</v>
      </c>
    </row>
    <row r="46" spans="1:5" x14ac:dyDescent="0.25">
      <c r="A46">
        <v>103.57</v>
      </c>
      <c r="B46">
        <v>109.03</v>
      </c>
      <c r="C46">
        <v>120.73</v>
      </c>
      <c r="D46">
        <v>105.05</v>
      </c>
      <c r="E46">
        <v>107.22</v>
      </c>
    </row>
    <row r="47" spans="1:5" x14ac:dyDescent="0.25">
      <c r="A47">
        <v>105.31</v>
      </c>
      <c r="B47">
        <v>104.69</v>
      </c>
      <c r="C47">
        <v>104.32</v>
      </c>
      <c r="D47">
        <v>105.05</v>
      </c>
      <c r="E47">
        <v>107.22</v>
      </c>
    </row>
    <row r="48" spans="1:5" x14ac:dyDescent="0.25">
      <c r="A48">
        <v>105.31</v>
      </c>
      <c r="B48">
        <v>104.69</v>
      </c>
      <c r="C48">
        <v>104.32</v>
      </c>
      <c r="D48">
        <v>108.97</v>
      </c>
      <c r="E48">
        <v>110.04</v>
      </c>
    </row>
    <row r="49" spans="1:5" x14ac:dyDescent="0.25">
      <c r="A49">
        <v>109.73</v>
      </c>
      <c r="B49">
        <v>105.22</v>
      </c>
      <c r="C49">
        <v>104.39</v>
      </c>
      <c r="D49">
        <v>108.97</v>
      </c>
      <c r="E49">
        <v>110.04</v>
      </c>
    </row>
    <row r="50" spans="1:5" x14ac:dyDescent="0.25">
      <c r="A50">
        <v>109.73</v>
      </c>
      <c r="B50">
        <v>105.22</v>
      </c>
      <c r="C50">
        <v>104.39</v>
      </c>
      <c r="D50">
        <v>108.75</v>
      </c>
      <c r="E50">
        <v>107.41</v>
      </c>
    </row>
    <row r="51" spans="1:5" x14ac:dyDescent="0.25">
      <c r="A51">
        <v>104.76</v>
      </c>
      <c r="B51">
        <v>112.13</v>
      </c>
      <c r="C51">
        <v>105.4</v>
      </c>
      <c r="D51">
        <v>108.75</v>
      </c>
      <c r="E51">
        <v>107.41</v>
      </c>
    </row>
    <row r="52" spans="1:5" x14ac:dyDescent="0.25">
      <c r="A52">
        <v>104.76</v>
      </c>
      <c r="B52">
        <v>112.13</v>
      </c>
      <c r="C52">
        <v>105.4</v>
      </c>
      <c r="D52">
        <v>134.22999999999999</v>
      </c>
      <c r="E52">
        <v>105.62</v>
      </c>
    </row>
    <row r="53" spans="1:5" x14ac:dyDescent="0.25">
      <c r="A53">
        <v>127.46</v>
      </c>
      <c r="B53">
        <v>124.98</v>
      </c>
      <c r="C53">
        <v>113.94</v>
      </c>
      <c r="D53">
        <v>134.22999999999999</v>
      </c>
      <c r="E53">
        <v>105.62</v>
      </c>
    </row>
    <row r="54" spans="1:5" x14ac:dyDescent="0.25">
      <c r="A54">
        <v>127.46</v>
      </c>
      <c r="B54">
        <v>124.98</v>
      </c>
      <c r="C54">
        <v>113.94</v>
      </c>
      <c r="D54">
        <v>122.68</v>
      </c>
      <c r="E54">
        <v>130.72999999999999</v>
      </c>
    </row>
    <row r="55" spans="1:5" x14ac:dyDescent="0.25">
      <c r="A55">
        <v>113.31</v>
      </c>
      <c r="B55">
        <v>105.33</v>
      </c>
      <c r="C55">
        <v>122.79</v>
      </c>
      <c r="D55">
        <v>122.68</v>
      </c>
      <c r="E55">
        <v>130.72999999999999</v>
      </c>
    </row>
    <row r="56" spans="1:5" x14ac:dyDescent="0.25">
      <c r="A56">
        <v>113.31</v>
      </c>
      <c r="B56">
        <v>105.33</v>
      </c>
      <c r="C56">
        <v>122.79</v>
      </c>
      <c r="D56">
        <v>112.23</v>
      </c>
      <c r="E56">
        <v>111.47</v>
      </c>
    </row>
    <row r="57" spans="1:5" x14ac:dyDescent="0.25">
      <c r="A57">
        <v>103.39</v>
      </c>
      <c r="B57">
        <v>111.15</v>
      </c>
      <c r="C57">
        <v>106.91</v>
      </c>
      <c r="D57">
        <v>112.23</v>
      </c>
      <c r="E57">
        <v>111.47</v>
      </c>
    </row>
    <row r="58" spans="1:5" x14ac:dyDescent="0.25">
      <c r="A58">
        <v>103.39</v>
      </c>
      <c r="B58">
        <v>111.15</v>
      </c>
      <c r="C58">
        <v>106.91</v>
      </c>
      <c r="D58">
        <v>105.73</v>
      </c>
      <c r="E58">
        <v>104.97</v>
      </c>
    </row>
    <row r="59" spans="1:5" x14ac:dyDescent="0.25">
      <c r="A59">
        <v>103.75</v>
      </c>
      <c r="B59">
        <v>105.01</v>
      </c>
      <c r="C59">
        <v>109.53</v>
      </c>
      <c r="D59">
        <v>105.73</v>
      </c>
      <c r="E59">
        <v>104.97</v>
      </c>
    </row>
    <row r="60" spans="1:5" x14ac:dyDescent="0.25">
      <c r="A60">
        <v>103.75</v>
      </c>
      <c r="B60">
        <v>105.01</v>
      </c>
      <c r="C60">
        <v>109.53</v>
      </c>
      <c r="D60">
        <v>106.55</v>
      </c>
      <c r="E60">
        <v>108.01</v>
      </c>
    </row>
    <row r="61" spans="1:5" x14ac:dyDescent="0.25">
      <c r="A61">
        <v>107.4</v>
      </c>
      <c r="B61">
        <v>103.97</v>
      </c>
      <c r="C61">
        <v>103.82</v>
      </c>
      <c r="D61">
        <v>106.55</v>
      </c>
      <c r="E61">
        <v>108.01</v>
      </c>
    </row>
    <row r="62" spans="1:5" x14ac:dyDescent="0.25">
      <c r="A62">
        <v>107.4</v>
      </c>
      <c r="B62">
        <v>103.97</v>
      </c>
      <c r="C62">
        <v>103.82</v>
      </c>
      <c r="D62">
        <v>113.12</v>
      </c>
      <c r="E62">
        <v>108.78</v>
      </c>
    </row>
    <row r="63" spans="1:5" x14ac:dyDescent="0.25">
      <c r="A63">
        <v>132.86000000000001</v>
      </c>
      <c r="B63">
        <v>128.13</v>
      </c>
      <c r="C63">
        <v>104.31</v>
      </c>
      <c r="D63">
        <v>113.12</v>
      </c>
      <c r="E63">
        <v>108.78</v>
      </c>
    </row>
    <row r="64" spans="1:5" x14ac:dyDescent="0.25">
      <c r="A64">
        <v>132.86000000000001</v>
      </c>
      <c r="B64">
        <v>128.13</v>
      </c>
      <c r="C64">
        <v>104.31</v>
      </c>
      <c r="D64">
        <v>107.38</v>
      </c>
      <c r="E64">
        <v>122.95</v>
      </c>
    </row>
    <row r="65" spans="1:5" x14ac:dyDescent="0.25">
      <c r="A65">
        <v>103.78</v>
      </c>
      <c r="B65">
        <v>105.99</v>
      </c>
      <c r="C65">
        <v>136.94999999999999</v>
      </c>
      <c r="D65">
        <v>107.38</v>
      </c>
      <c r="E65">
        <v>122.95</v>
      </c>
    </row>
    <row r="66" spans="1:5" x14ac:dyDescent="0.25">
      <c r="A66">
        <v>103.78</v>
      </c>
      <c r="B66">
        <v>105.99</v>
      </c>
      <c r="C66">
        <v>104.7</v>
      </c>
      <c r="D66">
        <v>107.47</v>
      </c>
      <c r="E66">
        <v>109.22</v>
      </c>
    </row>
    <row r="67" spans="1:5" x14ac:dyDescent="0.25">
      <c r="A67">
        <v>112.96</v>
      </c>
      <c r="B67">
        <v>104.25</v>
      </c>
      <c r="C67">
        <v>104.7</v>
      </c>
      <c r="D67">
        <v>107.47</v>
      </c>
      <c r="E67">
        <v>109.22</v>
      </c>
    </row>
    <row r="68" spans="1:5" x14ac:dyDescent="0.25">
      <c r="A68">
        <v>112.96</v>
      </c>
      <c r="B68">
        <v>104.25</v>
      </c>
      <c r="C68">
        <v>104.7</v>
      </c>
      <c r="D68">
        <v>116.8</v>
      </c>
      <c r="E68">
        <v>114.98</v>
      </c>
    </row>
    <row r="69" spans="1:5" x14ac:dyDescent="0.25">
      <c r="A69">
        <v>105.62</v>
      </c>
      <c r="B69">
        <v>114.63</v>
      </c>
      <c r="C69">
        <v>105.96</v>
      </c>
      <c r="D69">
        <v>116.8</v>
      </c>
      <c r="E69">
        <v>114.98</v>
      </c>
    </row>
    <row r="70" spans="1:5" x14ac:dyDescent="0.25">
      <c r="A70">
        <v>105.62</v>
      </c>
      <c r="B70">
        <v>114.63</v>
      </c>
      <c r="C70">
        <v>105.96</v>
      </c>
      <c r="D70">
        <v>108.45</v>
      </c>
      <c r="E70">
        <v>107.08</v>
      </c>
    </row>
    <row r="71" spans="1:5" x14ac:dyDescent="0.25">
      <c r="A71">
        <v>104.08</v>
      </c>
      <c r="B71">
        <v>112</v>
      </c>
      <c r="C71">
        <v>113.76</v>
      </c>
      <c r="D71">
        <v>108.45</v>
      </c>
      <c r="E71">
        <v>107.08</v>
      </c>
    </row>
    <row r="72" spans="1:5" x14ac:dyDescent="0.25">
      <c r="A72">
        <v>104.08</v>
      </c>
      <c r="B72">
        <v>112</v>
      </c>
      <c r="C72">
        <v>105.69</v>
      </c>
      <c r="D72">
        <v>118.14</v>
      </c>
      <c r="E72">
        <v>106.92</v>
      </c>
    </row>
    <row r="73" spans="1:5" x14ac:dyDescent="0.25">
      <c r="A73">
        <v>123.32</v>
      </c>
      <c r="B73">
        <v>128.88</v>
      </c>
      <c r="C73">
        <v>105.69</v>
      </c>
      <c r="D73">
        <v>118.14</v>
      </c>
      <c r="E73">
        <v>106.92</v>
      </c>
    </row>
    <row r="74" spans="1:5" x14ac:dyDescent="0.25">
      <c r="A74">
        <v>123.32</v>
      </c>
      <c r="B74">
        <v>128.88</v>
      </c>
      <c r="C74">
        <v>122.9</v>
      </c>
      <c r="D74">
        <v>112.45</v>
      </c>
      <c r="E74">
        <v>127.76</v>
      </c>
    </row>
    <row r="75" spans="1:5" x14ac:dyDescent="0.25">
      <c r="A75">
        <v>104.78</v>
      </c>
      <c r="B75">
        <v>105.08</v>
      </c>
      <c r="C75">
        <v>122.9</v>
      </c>
      <c r="D75">
        <v>112.45</v>
      </c>
      <c r="E75">
        <v>127.76</v>
      </c>
    </row>
    <row r="76" spans="1:5" x14ac:dyDescent="0.25">
      <c r="A76">
        <v>104.78</v>
      </c>
      <c r="B76">
        <v>105.08</v>
      </c>
      <c r="C76">
        <v>113.25</v>
      </c>
      <c r="D76">
        <v>107.45</v>
      </c>
      <c r="E76">
        <v>105.25</v>
      </c>
    </row>
    <row r="77" spans="1:5" x14ac:dyDescent="0.25">
      <c r="A77">
        <v>105.47</v>
      </c>
      <c r="B77">
        <v>106.72</v>
      </c>
      <c r="C77">
        <v>113.25</v>
      </c>
      <c r="D77">
        <v>107.45</v>
      </c>
      <c r="E77">
        <v>105.25</v>
      </c>
    </row>
    <row r="78" spans="1:5" x14ac:dyDescent="0.25">
      <c r="A78">
        <v>105.47</v>
      </c>
      <c r="B78">
        <v>106.72</v>
      </c>
      <c r="C78">
        <v>105.11</v>
      </c>
      <c r="D78">
        <v>105.68</v>
      </c>
      <c r="E78">
        <v>111.02</v>
      </c>
    </row>
    <row r="79" spans="1:5" x14ac:dyDescent="0.25">
      <c r="A79">
        <v>106.53</v>
      </c>
      <c r="B79">
        <v>104.81</v>
      </c>
      <c r="C79">
        <v>105.11</v>
      </c>
      <c r="D79">
        <v>105.68</v>
      </c>
      <c r="E79">
        <v>111.02</v>
      </c>
    </row>
    <row r="80" spans="1:5" x14ac:dyDescent="0.25">
      <c r="A80">
        <v>106.53</v>
      </c>
      <c r="B80">
        <v>104.81</v>
      </c>
      <c r="C80">
        <v>105.2</v>
      </c>
      <c r="D80">
        <v>109.86</v>
      </c>
      <c r="E80">
        <v>111.47</v>
      </c>
    </row>
    <row r="81" spans="1:5" x14ac:dyDescent="0.25">
      <c r="A81">
        <v>104.59</v>
      </c>
      <c r="B81">
        <v>106.83</v>
      </c>
      <c r="C81">
        <v>105.2</v>
      </c>
      <c r="D81">
        <v>109.86</v>
      </c>
      <c r="E81">
        <v>111.47</v>
      </c>
    </row>
    <row r="82" spans="1:5" x14ac:dyDescent="0.25">
      <c r="A82">
        <v>104.59</v>
      </c>
      <c r="B82">
        <v>106.83</v>
      </c>
      <c r="C82">
        <v>106.87</v>
      </c>
      <c r="D82">
        <v>122.42</v>
      </c>
      <c r="E82">
        <v>105.17</v>
      </c>
    </row>
    <row r="83" spans="1:5" x14ac:dyDescent="0.25">
      <c r="A83">
        <v>114.83</v>
      </c>
      <c r="B83">
        <v>135.6</v>
      </c>
      <c r="C83">
        <v>106.87</v>
      </c>
      <c r="D83">
        <v>122.42</v>
      </c>
      <c r="E83">
        <v>105.17</v>
      </c>
    </row>
    <row r="84" spans="1:5" x14ac:dyDescent="0.25">
      <c r="A84">
        <v>114.83</v>
      </c>
      <c r="B84">
        <v>135.6</v>
      </c>
      <c r="C84">
        <v>133.09</v>
      </c>
      <c r="D84">
        <v>105.89</v>
      </c>
      <c r="E84">
        <v>125.77</v>
      </c>
    </row>
    <row r="85" spans="1:5" x14ac:dyDescent="0.25">
      <c r="A85">
        <v>111.62</v>
      </c>
      <c r="B85">
        <v>103.4</v>
      </c>
      <c r="C85">
        <v>133.09</v>
      </c>
      <c r="D85">
        <v>105.89</v>
      </c>
      <c r="E85">
        <v>125.77</v>
      </c>
    </row>
    <row r="86" spans="1:5" x14ac:dyDescent="0.25">
      <c r="A86">
        <v>113.22</v>
      </c>
      <c r="B86">
        <v>103.4</v>
      </c>
      <c r="C86">
        <v>104.67</v>
      </c>
      <c r="D86">
        <v>107.92</v>
      </c>
      <c r="E86">
        <v>114.44</v>
      </c>
    </row>
    <row r="87" spans="1:5" x14ac:dyDescent="0.25">
      <c r="A87">
        <v>113.22</v>
      </c>
      <c r="B87">
        <v>105.4</v>
      </c>
      <c r="C87">
        <v>104.67</v>
      </c>
      <c r="D87">
        <v>107.92</v>
      </c>
      <c r="E87">
        <v>106.74</v>
      </c>
    </row>
    <row r="88" spans="1:5" x14ac:dyDescent="0.25">
      <c r="A88">
        <v>103</v>
      </c>
      <c r="B88">
        <v>105.4</v>
      </c>
      <c r="C88">
        <v>113.94</v>
      </c>
      <c r="D88">
        <v>112.93</v>
      </c>
      <c r="E88">
        <v>106.74</v>
      </c>
    </row>
    <row r="89" spans="1:5" x14ac:dyDescent="0.25">
      <c r="A89">
        <v>103</v>
      </c>
      <c r="B89">
        <v>114.39</v>
      </c>
      <c r="C89">
        <v>113.94</v>
      </c>
      <c r="D89">
        <v>112.93</v>
      </c>
      <c r="E89">
        <v>106.74</v>
      </c>
    </row>
    <row r="90" spans="1:5" x14ac:dyDescent="0.25">
      <c r="A90">
        <v>105.53</v>
      </c>
      <c r="B90">
        <v>114.39</v>
      </c>
      <c r="C90">
        <v>105.45</v>
      </c>
      <c r="D90">
        <v>106</v>
      </c>
      <c r="E90">
        <v>107.43</v>
      </c>
    </row>
    <row r="91" spans="1:5" x14ac:dyDescent="0.25">
      <c r="A91">
        <v>105.53</v>
      </c>
      <c r="B91">
        <v>104.37</v>
      </c>
      <c r="C91">
        <v>105.45</v>
      </c>
      <c r="D91">
        <v>106</v>
      </c>
      <c r="E91">
        <v>109.26</v>
      </c>
    </row>
    <row r="92" spans="1:5" x14ac:dyDescent="0.25">
      <c r="A92">
        <v>122.23</v>
      </c>
      <c r="B92">
        <v>104.37</v>
      </c>
      <c r="C92">
        <v>105.89</v>
      </c>
      <c r="D92">
        <v>131.35</v>
      </c>
      <c r="E92">
        <v>109.26</v>
      </c>
    </row>
    <row r="93" spans="1:5" x14ac:dyDescent="0.25">
      <c r="A93">
        <v>122.23</v>
      </c>
      <c r="B93">
        <v>120.96</v>
      </c>
      <c r="C93">
        <v>105.89</v>
      </c>
      <c r="D93">
        <v>131.35</v>
      </c>
      <c r="E93">
        <v>133.63</v>
      </c>
    </row>
    <row r="94" spans="1:5" x14ac:dyDescent="0.25">
      <c r="A94">
        <v>102.91</v>
      </c>
      <c r="B94">
        <v>120.96</v>
      </c>
      <c r="C94">
        <v>131.09</v>
      </c>
      <c r="D94">
        <v>106.91</v>
      </c>
      <c r="E94">
        <v>133.63</v>
      </c>
    </row>
    <row r="95" spans="1:5" x14ac:dyDescent="0.25">
      <c r="A95">
        <v>102.91</v>
      </c>
      <c r="B95">
        <v>107.59</v>
      </c>
      <c r="C95">
        <v>131.09</v>
      </c>
      <c r="D95">
        <v>106.91</v>
      </c>
      <c r="E95">
        <v>106.89</v>
      </c>
    </row>
    <row r="96" spans="1:5" x14ac:dyDescent="0.25">
      <c r="A96">
        <v>109.84</v>
      </c>
      <c r="B96">
        <v>107.59</v>
      </c>
      <c r="C96">
        <v>105.06</v>
      </c>
      <c r="D96">
        <v>107.92</v>
      </c>
      <c r="E96">
        <v>106.89</v>
      </c>
    </row>
    <row r="97" spans="1:5" x14ac:dyDescent="0.25">
      <c r="A97">
        <v>109.84</v>
      </c>
      <c r="B97">
        <v>104.05</v>
      </c>
      <c r="C97">
        <v>105.06</v>
      </c>
      <c r="D97">
        <v>107.92</v>
      </c>
      <c r="E97">
        <v>108.42</v>
      </c>
    </row>
    <row r="98" spans="1:5" x14ac:dyDescent="0.25">
      <c r="A98">
        <v>114.22</v>
      </c>
      <c r="B98">
        <v>104.05</v>
      </c>
      <c r="C98">
        <v>104.41</v>
      </c>
      <c r="D98">
        <v>106.38</v>
      </c>
      <c r="E98">
        <v>108.42</v>
      </c>
    </row>
    <row r="99" spans="1:5" x14ac:dyDescent="0.25">
      <c r="A99">
        <v>114.22</v>
      </c>
      <c r="B99">
        <v>105.91</v>
      </c>
      <c r="C99">
        <v>104.41</v>
      </c>
      <c r="D99">
        <v>106.38</v>
      </c>
      <c r="E99">
        <v>107.86</v>
      </c>
    </row>
    <row r="100" spans="1:5" x14ac:dyDescent="0.25">
      <c r="A100">
        <v>104.08</v>
      </c>
      <c r="B100">
        <v>105.91</v>
      </c>
      <c r="C100">
        <v>107.95</v>
      </c>
      <c r="D100">
        <v>112.02</v>
      </c>
      <c r="E100">
        <v>107.86</v>
      </c>
    </row>
    <row r="101" spans="1:5" x14ac:dyDescent="0.25">
      <c r="A101">
        <v>104.08</v>
      </c>
      <c r="B101">
        <v>112.57</v>
      </c>
      <c r="C101">
        <v>107.95</v>
      </c>
      <c r="D101">
        <v>112.02</v>
      </c>
      <c r="E101">
        <v>105.6</v>
      </c>
    </row>
    <row r="102" spans="1:5" x14ac:dyDescent="0.25">
      <c r="A102">
        <v>122.93</v>
      </c>
      <c r="B102">
        <v>112.57</v>
      </c>
      <c r="C102">
        <v>105.09</v>
      </c>
      <c r="D102">
        <v>128.53</v>
      </c>
      <c r="E102">
        <v>105.6</v>
      </c>
    </row>
    <row r="103" spans="1:5" x14ac:dyDescent="0.25">
      <c r="A103">
        <v>122.93</v>
      </c>
      <c r="B103">
        <v>120.27</v>
      </c>
      <c r="C103">
        <v>105.09</v>
      </c>
      <c r="D103">
        <v>128.53</v>
      </c>
      <c r="E103">
        <v>136.15</v>
      </c>
    </row>
    <row r="104" spans="1:5" x14ac:dyDescent="0.25">
      <c r="A104">
        <v>112.18</v>
      </c>
      <c r="B104">
        <v>120.27</v>
      </c>
      <c r="C104">
        <v>111.33</v>
      </c>
      <c r="D104">
        <v>108.67</v>
      </c>
      <c r="E104">
        <v>136.15</v>
      </c>
    </row>
    <row r="105" spans="1:5" x14ac:dyDescent="0.25">
      <c r="A105">
        <v>112.18</v>
      </c>
      <c r="B105">
        <v>108.45</v>
      </c>
      <c r="C105">
        <v>111.33</v>
      </c>
      <c r="D105">
        <v>108.67</v>
      </c>
      <c r="E105">
        <v>112.94</v>
      </c>
    </row>
    <row r="106" spans="1:5" x14ac:dyDescent="0.25">
      <c r="A106">
        <v>103.2</v>
      </c>
      <c r="B106">
        <v>108.45</v>
      </c>
      <c r="C106">
        <v>106.08</v>
      </c>
      <c r="D106">
        <v>112.91</v>
      </c>
      <c r="E106">
        <v>112.94</v>
      </c>
    </row>
    <row r="107" spans="1:5" x14ac:dyDescent="0.25">
      <c r="A107">
        <v>103.2</v>
      </c>
      <c r="B107">
        <v>106.88</v>
      </c>
      <c r="C107">
        <v>106.08</v>
      </c>
      <c r="D107">
        <v>112.91</v>
      </c>
      <c r="E107">
        <v>106.58</v>
      </c>
    </row>
    <row r="108" spans="1:5" x14ac:dyDescent="0.25">
      <c r="A108">
        <v>104.16</v>
      </c>
      <c r="B108">
        <v>106.88</v>
      </c>
      <c r="C108">
        <v>113.82</v>
      </c>
      <c r="D108">
        <v>106.25</v>
      </c>
      <c r="E108">
        <v>106.58</v>
      </c>
    </row>
    <row r="109" spans="1:5" x14ac:dyDescent="0.25">
      <c r="A109">
        <v>104.16</v>
      </c>
      <c r="B109">
        <v>104.45</v>
      </c>
      <c r="C109">
        <v>113.82</v>
      </c>
      <c r="D109">
        <v>106.25</v>
      </c>
      <c r="E109">
        <v>111.55</v>
      </c>
    </row>
    <row r="110" spans="1:5" x14ac:dyDescent="0.25">
      <c r="A110">
        <v>110.87</v>
      </c>
      <c r="B110">
        <v>104.45</v>
      </c>
      <c r="C110">
        <v>104.69</v>
      </c>
      <c r="D110">
        <v>103.85</v>
      </c>
      <c r="E110">
        <v>111.55</v>
      </c>
    </row>
    <row r="111" spans="1:5" x14ac:dyDescent="0.25">
      <c r="A111">
        <v>110.87</v>
      </c>
      <c r="B111">
        <v>104.85</v>
      </c>
      <c r="C111">
        <v>104.69</v>
      </c>
      <c r="D111">
        <v>103.85</v>
      </c>
      <c r="E111">
        <v>107.92</v>
      </c>
    </row>
    <row r="112" spans="1:5" x14ac:dyDescent="0.25">
      <c r="A112">
        <v>122.33</v>
      </c>
      <c r="B112">
        <v>104.85</v>
      </c>
      <c r="C112">
        <v>106.98</v>
      </c>
      <c r="D112">
        <v>135.46</v>
      </c>
      <c r="E112">
        <v>107.92</v>
      </c>
    </row>
    <row r="113" spans="1:5" x14ac:dyDescent="0.25">
      <c r="A113">
        <v>122.33</v>
      </c>
      <c r="B113">
        <v>132.58000000000001</v>
      </c>
      <c r="C113">
        <v>106.98</v>
      </c>
      <c r="D113">
        <v>135.46</v>
      </c>
      <c r="E113">
        <v>113.27</v>
      </c>
    </row>
    <row r="114" spans="1:5" x14ac:dyDescent="0.25">
      <c r="A114">
        <v>103.01</v>
      </c>
      <c r="B114">
        <v>132.58000000000001</v>
      </c>
      <c r="C114">
        <v>116.92</v>
      </c>
      <c r="D114">
        <v>104.91</v>
      </c>
      <c r="E114">
        <v>113.27</v>
      </c>
    </row>
    <row r="115" spans="1:5" x14ac:dyDescent="0.25">
      <c r="A115">
        <v>103.01</v>
      </c>
      <c r="B115">
        <v>106.12</v>
      </c>
      <c r="C115">
        <v>116.92</v>
      </c>
      <c r="D115">
        <v>104.91</v>
      </c>
      <c r="E115">
        <v>110.58</v>
      </c>
    </row>
    <row r="116" spans="1:5" x14ac:dyDescent="0.25">
      <c r="A116">
        <v>116.04</v>
      </c>
      <c r="B116">
        <v>106.12</v>
      </c>
      <c r="C116">
        <v>105.52</v>
      </c>
      <c r="D116">
        <v>107.23</v>
      </c>
      <c r="E116">
        <v>110.58</v>
      </c>
    </row>
    <row r="117" spans="1:5" x14ac:dyDescent="0.25">
      <c r="A117">
        <v>116.04</v>
      </c>
      <c r="B117">
        <v>105.85</v>
      </c>
      <c r="C117">
        <v>105.52</v>
      </c>
      <c r="D117">
        <v>107.23</v>
      </c>
      <c r="E117">
        <v>109.76</v>
      </c>
    </row>
    <row r="118" spans="1:5" x14ac:dyDescent="0.25">
      <c r="A118">
        <v>103.63</v>
      </c>
      <c r="B118">
        <v>105.85</v>
      </c>
      <c r="C118">
        <v>107.57</v>
      </c>
      <c r="D118">
        <v>112.18</v>
      </c>
      <c r="E118">
        <v>109.76</v>
      </c>
    </row>
    <row r="119" spans="1:5" x14ac:dyDescent="0.25">
      <c r="A119">
        <v>103.63</v>
      </c>
      <c r="B119">
        <v>111.11</v>
      </c>
      <c r="D119">
        <v>112.18</v>
      </c>
      <c r="E119">
        <v>107.95</v>
      </c>
    </row>
    <row r="120" spans="1:5" x14ac:dyDescent="0.25">
      <c r="A120">
        <v>103.21</v>
      </c>
      <c r="B120">
        <v>111.11</v>
      </c>
      <c r="D120">
        <v>107.65</v>
      </c>
      <c r="E120">
        <v>107.95</v>
      </c>
    </row>
    <row r="121" spans="1:5" x14ac:dyDescent="0.25">
      <c r="A121">
        <v>103.21</v>
      </c>
      <c r="B121">
        <v>109.31</v>
      </c>
      <c r="D121">
        <v>107.65</v>
      </c>
      <c r="E121">
        <v>115.57</v>
      </c>
    </row>
    <row r="122" spans="1:5" x14ac:dyDescent="0.25">
      <c r="A122">
        <v>135.18</v>
      </c>
      <c r="D122">
        <v>138.28</v>
      </c>
      <c r="E122">
        <v>115.57</v>
      </c>
    </row>
    <row r="123" spans="1:5" x14ac:dyDescent="0.25">
      <c r="E123">
        <v>120.99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F179-0A18-AB41-849F-F98D20738C72}">
  <dimension ref="A1:I121"/>
  <sheetViews>
    <sheetView workbookViewId="0">
      <selection activeCell="H5" sqref="H5"/>
    </sheetView>
  </sheetViews>
  <sheetFormatPr baseColWidth="10" defaultRowHeight="15.75" x14ac:dyDescent="0.25"/>
  <cols>
    <col min="7" max="7" width="11.5" customWidth="1"/>
    <col min="9" max="9" width="12.125" customWidth="1"/>
  </cols>
  <sheetData>
    <row r="1" spans="1:9" x14ac:dyDescent="0.25">
      <c r="A1" t="s">
        <v>6</v>
      </c>
      <c r="B1" t="s">
        <v>6</v>
      </c>
      <c r="C1" t="s">
        <v>6</v>
      </c>
      <c r="D1" t="s">
        <v>6</v>
      </c>
      <c r="E1" s="1" t="s">
        <v>9</v>
      </c>
      <c r="F1" t="s">
        <v>0</v>
      </c>
      <c r="G1" t="s">
        <v>8</v>
      </c>
      <c r="H1" t="s">
        <v>14</v>
      </c>
      <c r="I1" t="s">
        <v>18</v>
      </c>
    </row>
    <row r="2" spans="1:9" x14ac:dyDescent="0.25">
      <c r="A2">
        <v>120.31</v>
      </c>
      <c r="B2">
        <v>128.04</v>
      </c>
      <c r="C2">
        <v>132.30000000000001</v>
      </c>
      <c r="D2">
        <v>142.24</v>
      </c>
      <c r="F2" t="s">
        <v>1</v>
      </c>
      <c r="G2">
        <f>AVERAGE(A:A)</f>
        <v>121.43049999999998</v>
      </c>
      <c r="H2">
        <f>AVERAGE(21,22)</f>
        <v>21.5</v>
      </c>
      <c r="I2">
        <f t="shared" ref="I2:I5" si="0">G2-H2</f>
        <v>99.930499999999981</v>
      </c>
    </row>
    <row r="3" spans="1:9" x14ac:dyDescent="0.25">
      <c r="A3">
        <v>120.31</v>
      </c>
      <c r="B3">
        <v>128.04</v>
      </c>
      <c r="C3">
        <v>132.30000000000001</v>
      </c>
      <c r="D3">
        <v>141.66</v>
      </c>
      <c r="F3" t="s">
        <v>3</v>
      </c>
      <c r="G3">
        <f>AVERAGE(B:B)</f>
        <v>125.15524999999995</v>
      </c>
      <c r="H3">
        <f>AVERAGE(23,24)</f>
        <v>23.5</v>
      </c>
      <c r="I3">
        <f t="shared" si="0"/>
        <v>101.65524999999995</v>
      </c>
    </row>
    <row r="4" spans="1:9" x14ac:dyDescent="0.25">
      <c r="A4">
        <v>115.05</v>
      </c>
      <c r="B4">
        <v>119.85</v>
      </c>
      <c r="C4">
        <v>133.62</v>
      </c>
      <c r="D4">
        <v>141.66</v>
      </c>
      <c r="F4" t="s">
        <v>2</v>
      </c>
      <c r="G4">
        <f>AVERAGE(C:C)</f>
        <v>137.10899999999992</v>
      </c>
      <c r="H4">
        <f>AVERAGE(31,33)</f>
        <v>32</v>
      </c>
      <c r="I4">
        <f t="shared" si="0"/>
        <v>105.10899999999992</v>
      </c>
    </row>
    <row r="5" spans="1:9" x14ac:dyDescent="0.25">
      <c r="A5">
        <v>115.05</v>
      </c>
      <c r="B5">
        <v>119.85</v>
      </c>
      <c r="C5">
        <v>133.62</v>
      </c>
      <c r="D5">
        <v>155.83000000000001</v>
      </c>
      <c r="F5" t="s">
        <v>4</v>
      </c>
      <c r="G5">
        <f>AVERAGE(D:D)</f>
        <v>145.36191666666659</v>
      </c>
      <c r="H5">
        <f>AVERAGE(42,46)</f>
        <v>44</v>
      </c>
      <c r="I5">
        <f t="shared" si="0"/>
        <v>101.36191666666659</v>
      </c>
    </row>
    <row r="6" spans="1:9" x14ac:dyDescent="0.25">
      <c r="A6">
        <v>129.30000000000001</v>
      </c>
      <c r="B6">
        <v>119.44</v>
      </c>
      <c r="C6">
        <v>133.18</v>
      </c>
      <c r="D6">
        <v>155.83000000000001</v>
      </c>
      <c r="F6" t="s">
        <v>5</v>
      </c>
      <c r="G6" t="s">
        <v>19</v>
      </c>
      <c r="H6" t="s">
        <v>19</v>
      </c>
      <c r="I6" t="s">
        <v>19</v>
      </c>
    </row>
    <row r="7" spans="1:9" x14ac:dyDescent="0.25">
      <c r="A7">
        <v>129.30000000000001</v>
      </c>
      <c r="B7">
        <v>119.44</v>
      </c>
      <c r="C7">
        <v>133.18</v>
      </c>
      <c r="D7">
        <v>144.77000000000001</v>
      </c>
    </row>
    <row r="8" spans="1:9" x14ac:dyDescent="0.25">
      <c r="A8">
        <v>122.82</v>
      </c>
      <c r="B8">
        <v>119.1</v>
      </c>
      <c r="C8">
        <v>147.52000000000001</v>
      </c>
      <c r="D8">
        <v>144.77000000000001</v>
      </c>
    </row>
    <row r="9" spans="1:9" x14ac:dyDescent="0.25">
      <c r="A9">
        <v>122.82</v>
      </c>
      <c r="B9">
        <v>119.1</v>
      </c>
      <c r="C9">
        <v>147.52000000000001</v>
      </c>
      <c r="D9">
        <v>142.86000000000001</v>
      </c>
    </row>
    <row r="10" spans="1:9" x14ac:dyDescent="0.25">
      <c r="A10">
        <v>114.09</v>
      </c>
      <c r="B10">
        <v>158.94999999999999</v>
      </c>
      <c r="C10">
        <v>134.27000000000001</v>
      </c>
      <c r="D10">
        <v>142.86000000000001</v>
      </c>
    </row>
    <row r="11" spans="1:9" x14ac:dyDescent="0.25">
      <c r="A11">
        <v>114.09</v>
      </c>
      <c r="B11">
        <v>158.94999999999999</v>
      </c>
      <c r="C11">
        <v>134.27000000000001</v>
      </c>
      <c r="D11">
        <v>147.01</v>
      </c>
    </row>
    <row r="12" spans="1:9" x14ac:dyDescent="0.25">
      <c r="A12">
        <v>118.9</v>
      </c>
      <c r="B12">
        <v>117.29</v>
      </c>
      <c r="C12">
        <v>180</v>
      </c>
      <c r="D12">
        <v>147.01</v>
      </c>
    </row>
    <row r="13" spans="1:9" x14ac:dyDescent="0.25">
      <c r="A13">
        <v>118.9</v>
      </c>
      <c r="B13">
        <v>117.29</v>
      </c>
      <c r="C13">
        <v>180</v>
      </c>
      <c r="D13">
        <v>141.62</v>
      </c>
    </row>
    <row r="14" spans="1:9" x14ac:dyDescent="0.25">
      <c r="A14">
        <v>116.25</v>
      </c>
      <c r="B14">
        <v>136.49</v>
      </c>
      <c r="C14">
        <v>155.62</v>
      </c>
      <c r="D14">
        <v>141.62</v>
      </c>
    </row>
    <row r="15" spans="1:9" x14ac:dyDescent="0.25">
      <c r="A15">
        <v>116.25</v>
      </c>
      <c r="B15">
        <v>136.49</v>
      </c>
      <c r="C15">
        <v>155.62</v>
      </c>
      <c r="D15">
        <v>145.06</v>
      </c>
    </row>
    <row r="16" spans="1:9" x14ac:dyDescent="0.25">
      <c r="A16">
        <v>122.91</v>
      </c>
      <c r="B16">
        <v>118.94</v>
      </c>
      <c r="C16">
        <v>131.97</v>
      </c>
      <c r="D16">
        <v>145.06</v>
      </c>
    </row>
    <row r="17" spans="1:4" x14ac:dyDescent="0.25">
      <c r="A17">
        <v>122.91</v>
      </c>
      <c r="B17">
        <v>118.94</v>
      </c>
      <c r="C17">
        <v>131.97</v>
      </c>
      <c r="D17">
        <v>151.66999999999999</v>
      </c>
    </row>
    <row r="18" spans="1:4" x14ac:dyDescent="0.25">
      <c r="A18">
        <v>114.85</v>
      </c>
      <c r="B18">
        <v>119.2</v>
      </c>
      <c r="C18">
        <v>152.38999999999999</v>
      </c>
      <c r="D18">
        <v>151.66999999999999</v>
      </c>
    </row>
    <row r="19" spans="1:4" x14ac:dyDescent="0.25">
      <c r="A19">
        <v>114.85</v>
      </c>
      <c r="B19">
        <v>119.2</v>
      </c>
      <c r="C19">
        <v>152.38999999999999</v>
      </c>
      <c r="D19">
        <v>140.68</v>
      </c>
    </row>
    <row r="20" spans="1:4" x14ac:dyDescent="0.25">
      <c r="A20">
        <v>125.78</v>
      </c>
      <c r="B20">
        <v>143.59</v>
      </c>
      <c r="C20">
        <v>132.6</v>
      </c>
      <c r="D20">
        <v>140.68</v>
      </c>
    </row>
    <row r="21" spans="1:4" x14ac:dyDescent="0.25">
      <c r="A21">
        <v>125.78</v>
      </c>
      <c r="B21">
        <v>143.59</v>
      </c>
      <c r="C21">
        <v>132.6</v>
      </c>
      <c r="D21">
        <v>140.22</v>
      </c>
    </row>
    <row r="22" spans="1:4" x14ac:dyDescent="0.25">
      <c r="A22">
        <v>116.73</v>
      </c>
      <c r="B22">
        <v>117.56</v>
      </c>
      <c r="C22">
        <v>134.09</v>
      </c>
      <c r="D22">
        <v>140.22</v>
      </c>
    </row>
    <row r="23" spans="1:4" x14ac:dyDescent="0.25">
      <c r="A23">
        <v>116.73</v>
      </c>
      <c r="B23">
        <v>117.56</v>
      </c>
      <c r="C23">
        <v>134.09</v>
      </c>
      <c r="D23">
        <v>144.72</v>
      </c>
    </row>
    <row r="24" spans="1:4" x14ac:dyDescent="0.25">
      <c r="A24">
        <v>114.36</v>
      </c>
      <c r="B24">
        <v>131.6</v>
      </c>
      <c r="C24">
        <v>138.68</v>
      </c>
      <c r="D24">
        <v>144.72</v>
      </c>
    </row>
    <row r="25" spans="1:4" x14ac:dyDescent="0.25">
      <c r="A25">
        <v>114.36</v>
      </c>
      <c r="B25">
        <v>131.6</v>
      </c>
      <c r="C25">
        <v>138.68</v>
      </c>
      <c r="D25">
        <v>143.19999999999999</v>
      </c>
    </row>
    <row r="26" spans="1:4" x14ac:dyDescent="0.25">
      <c r="A26">
        <v>130.96</v>
      </c>
      <c r="B26">
        <v>123.7</v>
      </c>
      <c r="C26">
        <v>131.69999999999999</v>
      </c>
      <c r="D26">
        <v>143.19999999999999</v>
      </c>
    </row>
    <row r="27" spans="1:4" x14ac:dyDescent="0.25">
      <c r="A27">
        <v>130.96</v>
      </c>
      <c r="B27">
        <v>123.7</v>
      </c>
      <c r="C27">
        <v>131.69999999999999</v>
      </c>
      <c r="D27">
        <v>143.78</v>
      </c>
    </row>
    <row r="28" spans="1:4" x14ac:dyDescent="0.25">
      <c r="A28">
        <v>115.17</v>
      </c>
      <c r="B28">
        <v>118.04</v>
      </c>
      <c r="C28">
        <v>139.38999999999999</v>
      </c>
      <c r="D28">
        <v>143.78</v>
      </c>
    </row>
    <row r="29" spans="1:4" x14ac:dyDescent="0.25">
      <c r="A29">
        <v>115.17</v>
      </c>
      <c r="B29">
        <v>118.04</v>
      </c>
      <c r="C29">
        <v>139.38999999999999</v>
      </c>
      <c r="D29">
        <v>144.25</v>
      </c>
    </row>
    <row r="30" spans="1:4" x14ac:dyDescent="0.25">
      <c r="A30">
        <v>115.24</v>
      </c>
      <c r="B30">
        <v>130.1</v>
      </c>
      <c r="C30">
        <v>142.38</v>
      </c>
      <c r="D30">
        <v>144.25</v>
      </c>
    </row>
    <row r="31" spans="1:4" x14ac:dyDescent="0.25">
      <c r="A31">
        <v>115.24</v>
      </c>
      <c r="B31">
        <v>130.1</v>
      </c>
      <c r="C31">
        <v>142.38</v>
      </c>
      <c r="D31">
        <v>140.78</v>
      </c>
    </row>
    <row r="32" spans="1:4" x14ac:dyDescent="0.25">
      <c r="A32">
        <v>125.59</v>
      </c>
      <c r="B32">
        <v>119.56</v>
      </c>
      <c r="C32">
        <v>132.25</v>
      </c>
      <c r="D32">
        <v>140.78</v>
      </c>
    </row>
    <row r="33" spans="1:4" x14ac:dyDescent="0.25">
      <c r="A33">
        <v>125.59</v>
      </c>
      <c r="B33">
        <v>119.56</v>
      </c>
      <c r="C33">
        <v>132.25</v>
      </c>
      <c r="D33">
        <v>139.91999999999999</v>
      </c>
    </row>
    <row r="34" spans="1:4" x14ac:dyDescent="0.25">
      <c r="A34">
        <v>115.08</v>
      </c>
      <c r="B34">
        <v>134.02000000000001</v>
      </c>
      <c r="C34">
        <v>132.06</v>
      </c>
      <c r="D34">
        <v>139.91999999999999</v>
      </c>
    </row>
    <row r="35" spans="1:4" x14ac:dyDescent="0.25">
      <c r="A35">
        <v>115.08</v>
      </c>
      <c r="B35">
        <v>134.02000000000001</v>
      </c>
      <c r="C35">
        <v>132.06</v>
      </c>
      <c r="D35">
        <v>146.59</v>
      </c>
    </row>
    <row r="36" spans="1:4" x14ac:dyDescent="0.25">
      <c r="A36">
        <v>115.38</v>
      </c>
      <c r="B36">
        <v>117.22</v>
      </c>
      <c r="C36">
        <v>134.16999999999999</v>
      </c>
      <c r="D36">
        <v>146.59</v>
      </c>
    </row>
    <row r="37" spans="1:4" x14ac:dyDescent="0.25">
      <c r="A37">
        <v>115.38</v>
      </c>
      <c r="B37">
        <v>117.22</v>
      </c>
      <c r="C37">
        <v>134.16999999999999</v>
      </c>
      <c r="D37">
        <v>155.79</v>
      </c>
    </row>
    <row r="38" spans="1:4" x14ac:dyDescent="0.25">
      <c r="A38">
        <v>120.22</v>
      </c>
      <c r="B38">
        <v>122.01</v>
      </c>
      <c r="C38">
        <v>135.83000000000001</v>
      </c>
      <c r="D38">
        <v>138.59</v>
      </c>
    </row>
    <row r="39" spans="1:4" x14ac:dyDescent="0.25">
      <c r="A39">
        <v>120.22</v>
      </c>
      <c r="B39">
        <v>122.01</v>
      </c>
      <c r="C39">
        <v>131.65</v>
      </c>
      <c r="D39">
        <v>138.59</v>
      </c>
    </row>
    <row r="40" spans="1:4" x14ac:dyDescent="0.25">
      <c r="A40">
        <v>119.38</v>
      </c>
      <c r="B40">
        <v>118.49</v>
      </c>
      <c r="C40">
        <v>131.65</v>
      </c>
      <c r="D40">
        <v>143.74</v>
      </c>
    </row>
    <row r="41" spans="1:4" x14ac:dyDescent="0.25">
      <c r="A41">
        <v>119.38</v>
      </c>
      <c r="B41">
        <v>118.49</v>
      </c>
      <c r="C41">
        <v>137.19999999999999</v>
      </c>
      <c r="D41">
        <v>143.74</v>
      </c>
    </row>
    <row r="42" spans="1:4" x14ac:dyDescent="0.25">
      <c r="A42">
        <v>124.15</v>
      </c>
      <c r="B42">
        <v>118.45</v>
      </c>
      <c r="C42">
        <v>137.19999999999999</v>
      </c>
      <c r="D42">
        <v>139.38999999999999</v>
      </c>
    </row>
    <row r="43" spans="1:4" x14ac:dyDescent="0.25">
      <c r="A43">
        <v>124.15</v>
      </c>
      <c r="B43">
        <v>118.45</v>
      </c>
      <c r="C43">
        <v>137.19999999999999</v>
      </c>
      <c r="D43">
        <v>139.38999999999999</v>
      </c>
    </row>
    <row r="44" spans="1:4" x14ac:dyDescent="0.25">
      <c r="A44">
        <v>123.04</v>
      </c>
      <c r="B44">
        <v>133.57</v>
      </c>
      <c r="C44">
        <v>131.97999999999999</v>
      </c>
      <c r="D44">
        <v>140.84</v>
      </c>
    </row>
    <row r="45" spans="1:4" x14ac:dyDescent="0.25">
      <c r="A45">
        <v>123.04</v>
      </c>
      <c r="B45">
        <v>133.57</v>
      </c>
      <c r="C45">
        <v>131.72999999999999</v>
      </c>
      <c r="D45">
        <v>140.84</v>
      </c>
    </row>
    <row r="46" spans="1:4" x14ac:dyDescent="0.25">
      <c r="A46">
        <v>115.59</v>
      </c>
      <c r="B46">
        <v>124.06</v>
      </c>
      <c r="C46">
        <v>131.72999999999999</v>
      </c>
      <c r="D46">
        <v>153.99</v>
      </c>
    </row>
    <row r="47" spans="1:4" x14ac:dyDescent="0.25">
      <c r="A47">
        <v>115.59</v>
      </c>
      <c r="B47">
        <v>124.06</v>
      </c>
      <c r="C47">
        <v>135.69999999999999</v>
      </c>
      <c r="D47">
        <v>153.99</v>
      </c>
    </row>
    <row r="48" spans="1:4" x14ac:dyDescent="0.25">
      <c r="A48">
        <v>116.05</v>
      </c>
      <c r="B48">
        <v>116.19</v>
      </c>
      <c r="C48">
        <v>135.69999999999999</v>
      </c>
      <c r="D48">
        <v>144.06</v>
      </c>
    </row>
    <row r="49" spans="1:4" x14ac:dyDescent="0.25">
      <c r="A49">
        <v>116.05</v>
      </c>
      <c r="B49">
        <v>116.19</v>
      </c>
      <c r="C49">
        <v>136.85</v>
      </c>
      <c r="D49">
        <v>144.06</v>
      </c>
    </row>
    <row r="50" spans="1:4" x14ac:dyDescent="0.25">
      <c r="A50">
        <v>116.47</v>
      </c>
      <c r="B50">
        <v>135.38</v>
      </c>
      <c r="C50">
        <v>136.85</v>
      </c>
      <c r="D50">
        <v>139.4</v>
      </c>
    </row>
    <row r="51" spans="1:4" x14ac:dyDescent="0.25">
      <c r="A51">
        <v>116.47</v>
      </c>
      <c r="B51">
        <v>135.38</v>
      </c>
      <c r="C51">
        <v>131.56</v>
      </c>
      <c r="D51">
        <v>139.4</v>
      </c>
    </row>
    <row r="52" spans="1:4" x14ac:dyDescent="0.25">
      <c r="A52">
        <v>131.87</v>
      </c>
      <c r="B52">
        <v>123.71</v>
      </c>
      <c r="C52">
        <v>131.56</v>
      </c>
      <c r="D52">
        <v>145.44</v>
      </c>
    </row>
    <row r="53" spans="1:4" x14ac:dyDescent="0.25">
      <c r="A53">
        <v>131.87</v>
      </c>
      <c r="B53">
        <v>123.71</v>
      </c>
      <c r="C53">
        <v>136.99</v>
      </c>
      <c r="D53">
        <v>145.44</v>
      </c>
    </row>
    <row r="54" spans="1:4" x14ac:dyDescent="0.25">
      <c r="A54">
        <v>115.41</v>
      </c>
      <c r="B54">
        <v>119</v>
      </c>
      <c r="C54">
        <v>136.99</v>
      </c>
      <c r="D54">
        <v>146.01</v>
      </c>
    </row>
    <row r="55" spans="1:4" x14ac:dyDescent="0.25">
      <c r="A55">
        <v>115.41</v>
      </c>
      <c r="B55">
        <v>119</v>
      </c>
      <c r="C55">
        <v>132.19</v>
      </c>
      <c r="D55">
        <v>146.01</v>
      </c>
    </row>
    <row r="56" spans="1:4" x14ac:dyDescent="0.25">
      <c r="A56">
        <v>118.12</v>
      </c>
      <c r="B56">
        <v>117.63</v>
      </c>
      <c r="C56">
        <v>132.19</v>
      </c>
      <c r="D56">
        <v>158.71</v>
      </c>
    </row>
    <row r="57" spans="1:4" x14ac:dyDescent="0.25">
      <c r="A57">
        <v>118.12</v>
      </c>
      <c r="B57">
        <v>117.63</v>
      </c>
      <c r="C57">
        <v>131.34</v>
      </c>
      <c r="D57">
        <v>158.71</v>
      </c>
    </row>
    <row r="58" spans="1:4" x14ac:dyDescent="0.25">
      <c r="A58">
        <v>117.71</v>
      </c>
      <c r="B58">
        <v>120.69</v>
      </c>
      <c r="C58">
        <v>131.34</v>
      </c>
      <c r="D58">
        <v>141.21</v>
      </c>
    </row>
    <row r="59" spans="1:4" x14ac:dyDescent="0.25">
      <c r="A59">
        <v>117.71</v>
      </c>
      <c r="B59">
        <v>120.69</v>
      </c>
      <c r="C59">
        <v>131.81</v>
      </c>
      <c r="D59">
        <v>141.21</v>
      </c>
    </row>
    <row r="60" spans="1:4" x14ac:dyDescent="0.25">
      <c r="A60">
        <v>115.34</v>
      </c>
      <c r="B60">
        <v>117.8</v>
      </c>
      <c r="C60">
        <v>131.81</v>
      </c>
      <c r="D60">
        <v>143.97</v>
      </c>
    </row>
    <row r="61" spans="1:4" x14ac:dyDescent="0.25">
      <c r="A61">
        <v>115.34</v>
      </c>
      <c r="B61">
        <v>117.8</v>
      </c>
      <c r="C61">
        <v>139.18</v>
      </c>
      <c r="D61">
        <v>143.97</v>
      </c>
    </row>
    <row r="62" spans="1:4" x14ac:dyDescent="0.25">
      <c r="A62">
        <v>131.19999999999999</v>
      </c>
      <c r="B62">
        <v>118.48</v>
      </c>
      <c r="C62">
        <v>139.18</v>
      </c>
      <c r="D62">
        <v>140.08000000000001</v>
      </c>
    </row>
    <row r="63" spans="1:4" x14ac:dyDescent="0.25">
      <c r="A63">
        <v>131.19999999999999</v>
      </c>
      <c r="B63">
        <v>118.48</v>
      </c>
      <c r="C63">
        <v>131.54</v>
      </c>
      <c r="D63">
        <v>140.08000000000001</v>
      </c>
    </row>
    <row r="64" spans="1:4" x14ac:dyDescent="0.25">
      <c r="A64">
        <v>119.91</v>
      </c>
      <c r="B64">
        <v>126.96</v>
      </c>
      <c r="C64">
        <v>131.54</v>
      </c>
      <c r="D64">
        <v>154.94</v>
      </c>
    </row>
    <row r="65" spans="1:4" x14ac:dyDescent="0.25">
      <c r="A65">
        <v>119.91</v>
      </c>
      <c r="B65">
        <v>126.96</v>
      </c>
      <c r="C65">
        <v>134.12</v>
      </c>
      <c r="D65">
        <v>154.94</v>
      </c>
    </row>
    <row r="66" spans="1:4" x14ac:dyDescent="0.25">
      <c r="A66">
        <v>131.65</v>
      </c>
      <c r="B66">
        <v>116.99</v>
      </c>
      <c r="C66">
        <v>134.12</v>
      </c>
      <c r="D66">
        <v>141.97</v>
      </c>
    </row>
    <row r="67" spans="1:4" x14ac:dyDescent="0.25">
      <c r="A67">
        <v>131.65</v>
      </c>
      <c r="B67">
        <v>116.99</v>
      </c>
      <c r="C67">
        <v>156.4</v>
      </c>
      <c r="D67">
        <v>141.97</v>
      </c>
    </row>
    <row r="68" spans="1:4" x14ac:dyDescent="0.25">
      <c r="A68">
        <v>116.41</v>
      </c>
      <c r="B68">
        <v>115.42</v>
      </c>
      <c r="C68">
        <v>156.4</v>
      </c>
      <c r="D68">
        <v>142.38</v>
      </c>
    </row>
    <row r="69" spans="1:4" x14ac:dyDescent="0.25">
      <c r="A69">
        <v>116.41</v>
      </c>
      <c r="B69">
        <v>115.42</v>
      </c>
      <c r="C69">
        <v>132.5</v>
      </c>
      <c r="D69">
        <v>142.38</v>
      </c>
    </row>
    <row r="70" spans="1:4" x14ac:dyDescent="0.25">
      <c r="A70">
        <v>120.22</v>
      </c>
      <c r="B70">
        <v>158.82</v>
      </c>
      <c r="C70">
        <v>132.5</v>
      </c>
      <c r="D70">
        <v>140.34</v>
      </c>
    </row>
    <row r="71" spans="1:4" x14ac:dyDescent="0.25">
      <c r="A71">
        <v>120.22</v>
      </c>
      <c r="B71">
        <v>158.82</v>
      </c>
      <c r="C71">
        <v>132.63999999999999</v>
      </c>
      <c r="D71">
        <v>140.34</v>
      </c>
    </row>
    <row r="72" spans="1:4" x14ac:dyDescent="0.25">
      <c r="A72">
        <v>116.33</v>
      </c>
      <c r="B72">
        <v>116.85</v>
      </c>
      <c r="C72">
        <v>132.63999999999999</v>
      </c>
      <c r="D72">
        <v>175.46</v>
      </c>
    </row>
    <row r="73" spans="1:4" x14ac:dyDescent="0.25">
      <c r="A73">
        <v>116.33</v>
      </c>
      <c r="B73">
        <v>116.85</v>
      </c>
      <c r="C73">
        <v>135.81</v>
      </c>
      <c r="D73">
        <v>175.46</v>
      </c>
    </row>
    <row r="74" spans="1:4" x14ac:dyDescent="0.25">
      <c r="A74">
        <v>113.8</v>
      </c>
      <c r="B74">
        <v>119.66</v>
      </c>
      <c r="C74">
        <v>135.81</v>
      </c>
      <c r="D74">
        <v>149.54</v>
      </c>
    </row>
    <row r="75" spans="1:4" x14ac:dyDescent="0.25">
      <c r="A75">
        <v>113.8</v>
      </c>
      <c r="B75">
        <v>119.66</v>
      </c>
      <c r="C75">
        <v>131</v>
      </c>
      <c r="D75">
        <v>149.54</v>
      </c>
    </row>
    <row r="76" spans="1:4" x14ac:dyDescent="0.25">
      <c r="A76">
        <v>148.55000000000001</v>
      </c>
      <c r="B76">
        <v>121.52</v>
      </c>
      <c r="C76">
        <v>131</v>
      </c>
      <c r="D76">
        <v>144.9</v>
      </c>
    </row>
    <row r="77" spans="1:4" x14ac:dyDescent="0.25">
      <c r="A77">
        <v>148.55000000000001</v>
      </c>
      <c r="B77">
        <v>121.52</v>
      </c>
      <c r="C77">
        <v>147.78</v>
      </c>
      <c r="D77">
        <v>144.9</v>
      </c>
    </row>
    <row r="78" spans="1:4" x14ac:dyDescent="0.25">
      <c r="A78">
        <v>114.61</v>
      </c>
      <c r="B78">
        <v>119.22</v>
      </c>
      <c r="C78">
        <v>147.78</v>
      </c>
      <c r="D78">
        <v>147.5</v>
      </c>
    </row>
    <row r="79" spans="1:4" x14ac:dyDescent="0.25">
      <c r="A79">
        <v>114.61</v>
      </c>
      <c r="B79">
        <v>119.22</v>
      </c>
      <c r="C79">
        <v>139.4</v>
      </c>
      <c r="D79">
        <v>147.5</v>
      </c>
    </row>
    <row r="80" spans="1:4" x14ac:dyDescent="0.25">
      <c r="A80">
        <v>114.41</v>
      </c>
      <c r="B80">
        <v>142.87</v>
      </c>
      <c r="C80">
        <v>139.4</v>
      </c>
      <c r="D80">
        <v>141.75</v>
      </c>
    </row>
    <row r="81" spans="1:4" x14ac:dyDescent="0.25">
      <c r="A81">
        <v>114.41</v>
      </c>
      <c r="B81">
        <v>142.87</v>
      </c>
      <c r="C81">
        <v>133.80000000000001</v>
      </c>
      <c r="D81">
        <v>141.75</v>
      </c>
    </row>
    <row r="82" spans="1:4" x14ac:dyDescent="0.25">
      <c r="A82">
        <v>119.66</v>
      </c>
      <c r="B82">
        <v>126.48</v>
      </c>
      <c r="C82">
        <v>133.80000000000001</v>
      </c>
      <c r="D82">
        <v>141.19999999999999</v>
      </c>
    </row>
    <row r="83" spans="1:4" x14ac:dyDescent="0.25">
      <c r="A83">
        <v>119.66</v>
      </c>
      <c r="B83">
        <v>126.48</v>
      </c>
      <c r="C83">
        <v>134.22999999999999</v>
      </c>
      <c r="D83">
        <v>141.19999999999999</v>
      </c>
    </row>
    <row r="84" spans="1:4" x14ac:dyDescent="0.25">
      <c r="A84">
        <v>117.4</v>
      </c>
      <c r="B84">
        <v>127.97</v>
      </c>
      <c r="C84">
        <v>134.22999999999999</v>
      </c>
      <c r="D84">
        <v>155.49</v>
      </c>
    </row>
    <row r="85" spans="1:4" x14ac:dyDescent="0.25">
      <c r="A85">
        <v>117.4</v>
      </c>
      <c r="B85">
        <v>127.97</v>
      </c>
      <c r="C85">
        <v>140.01</v>
      </c>
      <c r="D85">
        <v>155.49</v>
      </c>
    </row>
    <row r="86" spans="1:4" x14ac:dyDescent="0.25">
      <c r="A86">
        <v>124.26</v>
      </c>
      <c r="B86">
        <v>117.9</v>
      </c>
      <c r="C86">
        <v>140.01</v>
      </c>
      <c r="D86">
        <v>146.91999999999999</v>
      </c>
    </row>
    <row r="87" spans="1:4" x14ac:dyDescent="0.25">
      <c r="A87">
        <v>124.26</v>
      </c>
      <c r="B87">
        <v>117.9</v>
      </c>
      <c r="C87">
        <v>144.83000000000001</v>
      </c>
      <c r="D87">
        <v>146.91999999999999</v>
      </c>
    </row>
    <row r="88" spans="1:4" x14ac:dyDescent="0.25">
      <c r="A88">
        <v>127.18</v>
      </c>
      <c r="B88">
        <v>125.75</v>
      </c>
      <c r="C88">
        <v>144.83000000000001</v>
      </c>
      <c r="D88">
        <v>141.18</v>
      </c>
    </row>
    <row r="89" spans="1:4" x14ac:dyDescent="0.25">
      <c r="A89">
        <v>127.18</v>
      </c>
      <c r="B89">
        <v>125.75</v>
      </c>
      <c r="C89">
        <v>131.49</v>
      </c>
      <c r="D89">
        <v>141.18</v>
      </c>
    </row>
    <row r="90" spans="1:4" x14ac:dyDescent="0.25">
      <c r="A90">
        <v>114.44</v>
      </c>
      <c r="B90">
        <v>141.49</v>
      </c>
      <c r="C90">
        <v>131.49</v>
      </c>
      <c r="D90">
        <v>144.68</v>
      </c>
    </row>
    <row r="91" spans="1:4" x14ac:dyDescent="0.25">
      <c r="A91">
        <v>114.44</v>
      </c>
      <c r="B91">
        <v>117.23</v>
      </c>
      <c r="C91">
        <v>137.71</v>
      </c>
      <c r="D91">
        <v>144.68</v>
      </c>
    </row>
    <row r="92" spans="1:4" x14ac:dyDescent="0.25">
      <c r="A92">
        <v>117.62</v>
      </c>
      <c r="B92">
        <v>117.23</v>
      </c>
      <c r="C92">
        <v>137.71</v>
      </c>
      <c r="D92">
        <v>142.81</v>
      </c>
    </row>
    <row r="93" spans="1:4" x14ac:dyDescent="0.25">
      <c r="A93">
        <v>117.62</v>
      </c>
      <c r="B93">
        <v>127.47</v>
      </c>
      <c r="C93">
        <v>132.68</v>
      </c>
      <c r="D93">
        <v>142.81</v>
      </c>
    </row>
    <row r="94" spans="1:4" x14ac:dyDescent="0.25">
      <c r="A94">
        <v>124.5</v>
      </c>
      <c r="B94">
        <v>127.47</v>
      </c>
      <c r="C94">
        <v>132.68</v>
      </c>
      <c r="D94">
        <v>143.16</v>
      </c>
    </row>
    <row r="95" spans="1:4" x14ac:dyDescent="0.25">
      <c r="A95">
        <v>124.5</v>
      </c>
      <c r="B95">
        <v>120.07</v>
      </c>
      <c r="C95">
        <v>132.6</v>
      </c>
      <c r="D95">
        <v>143.16</v>
      </c>
    </row>
    <row r="96" spans="1:4" x14ac:dyDescent="0.25">
      <c r="A96">
        <v>123.12</v>
      </c>
      <c r="B96">
        <v>120.07</v>
      </c>
      <c r="C96">
        <v>132.6</v>
      </c>
      <c r="D96">
        <v>152.96</v>
      </c>
    </row>
    <row r="97" spans="1:4" x14ac:dyDescent="0.25">
      <c r="A97">
        <v>123.12</v>
      </c>
      <c r="B97">
        <v>118.18</v>
      </c>
      <c r="C97">
        <v>148.05000000000001</v>
      </c>
      <c r="D97">
        <v>152.96</v>
      </c>
    </row>
    <row r="98" spans="1:4" x14ac:dyDescent="0.25">
      <c r="A98">
        <v>115.65</v>
      </c>
      <c r="B98">
        <v>118.18</v>
      </c>
      <c r="C98">
        <v>148.05000000000001</v>
      </c>
      <c r="D98">
        <v>140.91999999999999</v>
      </c>
    </row>
    <row r="99" spans="1:4" x14ac:dyDescent="0.25">
      <c r="A99">
        <v>115.65</v>
      </c>
      <c r="B99">
        <v>134.01</v>
      </c>
      <c r="C99">
        <v>131.43</v>
      </c>
      <c r="D99">
        <v>140.91999999999999</v>
      </c>
    </row>
    <row r="100" spans="1:4" x14ac:dyDescent="0.25">
      <c r="A100">
        <v>120.79</v>
      </c>
      <c r="B100">
        <v>134.01</v>
      </c>
      <c r="C100">
        <v>131.43</v>
      </c>
      <c r="D100">
        <v>140.16</v>
      </c>
    </row>
    <row r="101" spans="1:4" x14ac:dyDescent="0.25">
      <c r="A101">
        <v>120.79</v>
      </c>
      <c r="B101">
        <v>134.01</v>
      </c>
      <c r="C101">
        <v>134.83000000000001</v>
      </c>
      <c r="D101">
        <v>140.16</v>
      </c>
    </row>
    <row r="102" spans="1:4" x14ac:dyDescent="0.25">
      <c r="A102">
        <v>119.14</v>
      </c>
      <c r="B102">
        <v>124.01</v>
      </c>
      <c r="C102">
        <v>134.83000000000001</v>
      </c>
      <c r="D102">
        <v>143.36000000000001</v>
      </c>
    </row>
    <row r="103" spans="1:4" x14ac:dyDescent="0.25">
      <c r="A103">
        <v>119.14</v>
      </c>
      <c r="B103">
        <v>129.41999999999999</v>
      </c>
      <c r="C103">
        <v>142.9</v>
      </c>
      <c r="D103">
        <v>143.36000000000001</v>
      </c>
    </row>
    <row r="104" spans="1:4" x14ac:dyDescent="0.25">
      <c r="A104">
        <v>113.95</v>
      </c>
      <c r="B104">
        <v>129.41999999999999</v>
      </c>
      <c r="C104">
        <v>142.9</v>
      </c>
      <c r="D104">
        <v>148.53</v>
      </c>
    </row>
    <row r="105" spans="1:4" x14ac:dyDescent="0.25">
      <c r="A105">
        <v>113.95</v>
      </c>
      <c r="B105">
        <v>117.89</v>
      </c>
      <c r="C105">
        <v>132.16999999999999</v>
      </c>
      <c r="D105">
        <v>148.53</v>
      </c>
    </row>
    <row r="106" spans="1:4" x14ac:dyDescent="0.25">
      <c r="A106">
        <v>147.29</v>
      </c>
      <c r="B106">
        <v>117.89</v>
      </c>
      <c r="C106">
        <v>132.16999999999999</v>
      </c>
      <c r="D106">
        <v>149.16999999999999</v>
      </c>
    </row>
    <row r="107" spans="1:4" x14ac:dyDescent="0.25">
      <c r="A107">
        <v>147.29</v>
      </c>
      <c r="B107">
        <v>119.03</v>
      </c>
      <c r="C107">
        <v>136.80000000000001</v>
      </c>
      <c r="D107">
        <v>149.16999999999999</v>
      </c>
    </row>
    <row r="108" spans="1:4" x14ac:dyDescent="0.25">
      <c r="A108">
        <v>122.24</v>
      </c>
      <c r="B108">
        <v>119.03</v>
      </c>
      <c r="C108">
        <v>136.80000000000001</v>
      </c>
      <c r="D108">
        <v>145.74</v>
      </c>
    </row>
    <row r="109" spans="1:4" x14ac:dyDescent="0.25">
      <c r="A109">
        <v>122.24</v>
      </c>
      <c r="B109">
        <v>129</v>
      </c>
      <c r="C109">
        <v>134.57</v>
      </c>
      <c r="D109">
        <v>145.74</v>
      </c>
    </row>
    <row r="110" spans="1:4" x14ac:dyDescent="0.25">
      <c r="A110">
        <v>120.64</v>
      </c>
      <c r="B110">
        <v>129</v>
      </c>
      <c r="C110">
        <v>134.57</v>
      </c>
      <c r="D110">
        <v>141.9</v>
      </c>
    </row>
    <row r="111" spans="1:4" x14ac:dyDescent="0.25">
      <c r="A111">
        <v>120.64</v>
      </c>
      <c r="B111">
        <v>122.01</v>
      </c>
      <c r="C111">
        <v>133.47</v>
      </c>
      <c r="D111">
        <v>141.9</v>
      </c>
    </row>
    <row r="112" spans="1:4" x14ac:dyDescent="0.25">
      <c r="A112">
        <v>136.13</v>
      </c>
      <c r="B112">
        <v>122.01</v>
      </c>
      <c r="C112">
        <v>133.47</v>
      </c>
      <c r="D112">
        <v>140.07</v>
      </c>
    </row>
    <row r="113" spans="1:4" x14ac:dyDescent="0.25">
      <c r="A113">
        <v>136.13</v>
      </c>
      <c r="B113">
        <v>144.55000000000001</v>
      </c>
      <c r="C113">
        <v>134.33000000000001</v>
      </c>
      <c r="D113">
        <v>140.07</v>
      </c>
    </row>
    <row r="114" spans="1:4" x14ac:dyDescent="0.25">
      <c r="A114">
        <v>124.4</v>
      </c>
      <c r="B114">
        <v>144.55000000000001</v>
      </c>
      <c r="C114">
        <v>134.33000000000001</v>
      </c>
      <c r="D114">
        <v>142.79</v>
      </c>
    </row>
    <row r="115" spans="1:4" x14ac:dyDescent="0.25">
      <c r="A115">
        <v>124.4</v>
      </c>
      <c r="B115">
        <v>117.71</v>
      </c>
      <c r="C115">
        <v>133.71</v>
      </c>
      <c r="D115">
        <v>142.79</v>
      </c>
    </row>
    <row r="116" spans="1:4" x14ac:dyDescent="0.25">
      <c r="A116">
        <v>144.71</v>
      </c>
      <c r="B116">
        <v>117.71</v>
      </c>
      <c r="C116">
        <v>133.71</v>
      </c>
      <c r="D116">
        <v>159.36000000000001</v>
      </c>
    </row>
    <row r="117" spans="1:4" x14ac:dyDescent="0.25">
      <c r="A117">
        <v>144.71</v>
      </c>
      <c r="B117">
        <v>117.87</v>
      </c>
      <c r="C117">
        <v>140.36000000000001</v>
      </c>
      <c r="D117">
        <v>159.36000000000001</v>
      </c>
    </row>
    <row r="118" spans="1:4" x14ac:dyDescent="0.25">
      <c r="A118">
        <v>120.24</v>
      </c>
      <c r="B118">
        <v>117.87</v>
      </c>
      <c r="C118">
        <v>140.36000000000001</v>
      </c>
      <c r="D118">
        <v>140.53</v>
      </c>
    </row>
    <row r="119" spans="1:4" x14ac:dyDescent="0.25">
      <c r="A119">
        <v>120.24</v>
      </c>
      <c r="B119">
        <v>141.74</v>
      </c>
      <c r="C119">
        <v>131.09</v>
      </c>
      <c r="D119">
        <v>140.53</v>
      </c>
    </row>
    <row r="120" spans="1:4" x14ac:dyDescent="0.25">
      <c r="A120">
        <v>123.26</v>
      </c>
      <c r="B120">
        <v>141.74</v>
      </c>
      <c r="C120">
        <v>131.09</v>
      </c>
      <c r="D120">
        <v>142.94</v>
      </c>
    </row>
    <row r="121" spans="1:4" x14ac:dyDescent="0.25">
      <c r="A121">
        <v>123.26</v>
      </c>
      <c r="B121">
        <v>117.64</v>
      </c>
      <c r="C121">
        <v>134.79</v>
      </c>
      <c r="D121">
        <v>142.94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962F-1E4D-6545-B310-5079828EB8DF}">
  <dimension ref="A1:U127"/>
  <sheetViews>
    <sheetView tabSelected="1" zoomScale="94" workbookViewId="0">
      <selection activeCell="B11" sqref="B11"/>
    </sheetView>
  </sheetViews>
  <sheetFormatPr baseColWidth="10" defaultRowHeight="15.75" x14ac:dyDescent="0.25"/>
  <cols>
    <col min="2" max="2" width="16.875" bestFit="1" customWidth="1"/>
    <col min="5" max="5" width="23" bestFit="1" customWidth="1"/>
    <col min="8" max="8" width="18.375" bestFit="1" customWidth="1"/>
    <col min="11" max="11" width="23" bestFit="1" customWidth="1"/>
    <col min="14" max="14" width="27" bestFit="1" customWidth="1"/>
    <col min="17" max="17" width="22.375" bestFit="1" customWidth="1"/>
    <col min="19" max="19" width="24.5" bestFit="1" customWidth="1"/>
    <col min="20" max="20" width="19.875" bestFit="1" customWidth="1"/>
    <col min="22" max="22" width="20.875" bestFit="1" customWidth="1"/>
    <col min="23" max="23" width="19.875" bestFit="1" customWidth="1"/>
    <col min="24" max="24" width="10.5" customWidth="1"/>
    <col min="26" max="26" width="16.875" bestFit="1" customWidth="1"/>
  </cols>
  <sheetData>
    <row r="1" spans="1:21" x14ac:dyDescent="0.25">
      <c r="A1" s="2" t="s">
        <v>6</v>
      </c>
      <c r="B1" s="2" t="s">
        <v>15</v>
      </c>
      <c r="C1" s="2" t="s">
        <v>7</v>
      </c>
      <c r="D1" s="2" t="s">
        <v>6</v>
      </c>
      <c r="E1" s="2" t="s">
        <v>16</v>
      </c>
      <c r="F1" s="2" t="s">
        <v>7</v>
      </c>
      <c r="G1" s="2" t="s">
        <v>6</v>
      </c>
      <c r="H1" s="2" t="s">
        <v>17</v>
      </c>
      <c r="I1" s="2" t="s">
        <v>7</v>
      </c>
      <c r="J1" s="3" t="s">
        <v>6</v>
      </c>
      <c r="K1" s="3" t="s">
        <v>22</v>
      </c>
      <c r="L1" s="3" t="s">
        <v>7</v>
      </c>
      <c r="M1" s="3" t="s">
        <v>6</v>
      </c>
      <c r="N1" s="3" t="s">
        <v>20</v>
      </c>
      <c r="O1" s="3" t="s">
        <v>7</v>
      </c>
      <c r="P1" s="3" t="s">
        <v>6</v>
      </c>
      <c r="Q1" s="3" t="s">
        <v>21</v>
      </c>
      <c r="R1" s="3" t="s">
        <v>7</v>
      </c>
      <c r="S1" s="4" t="s">
        <v>30</v>
      </c>
      <c r="T1" s="4" t="s">
        <v>23</v>
      </c>
      <c r="U1" s="4">
        <f>AVERAGE(S:S)</f>
        <v>101.26551666666668</v>
      </c>
    </row>
    <row r="2" spans="1:21" x14ac:dyDescent="0.25">
      <c r="A2" s="2">
        <v>118.83</v>
      </c>
      <c r="B2" s="2" t="s">
        <v>14</v>
      </c>
      <c r="C2" s="2">
        <f>AVERAGE(23,24)</f>
        <v>23.5</v>
      </c>
      <c r="D2" s="2">
        <v>114.01</v>
      </c>
      <c r="E2" s="2" t="s">
        <v>14</v>
      </c>
      <c r="F2" s="2">
        <v>14</v>
      </c>
      <c r="G2" s="2">
        <v>105.13</v>
      </c>
      <c r="H2" s="2" t="s">
        <v>14</v>
      </c>
      <c r="I2" s="2">
        <v>14</v>
      </c>
      <c r="J2" s="3">
        <v>150.99</v>
      </c>
      <c r="K2" s="3" t="s">
        <v>14</v>
      </c>
      <c r="L2" s="3">
        <f>AVERAGE(45,48)</f>
        <v>46.5</v>
      </c>
      <c r="M2" s="3">
        <v>144.57</v>
      </c>
      <c r="N2" s="3" t="s">
        <v>14</v>
      </c>
      <c r="O2" s="3">
        <f>AVERAGE(42,46)</f>
        <v>44</v>
      </c>
      <c r="P2" s="3">
        <v>142.25</v>
      </c>
      <c r="Q2" s="3" t="s">
        <v>14</v>
      </c>
      <c r="R2" s="3">
        <f>AVERAGE(23,24)</f>
        <v>23.5</v>
      </c>
      <c r="S2" s="4">
        <v>99.635000000000005</v>
      </c>
      <c r="T2" s="4" t="s">
        <v>24</v>
      </c>
      <c r="U2" s="4">
        <f>MIN(S:S)</f>
        <v>95.843999999999994</v>
      </c>
    </row>
    <row r="3" spans="1:21" x14ac:dyDescent="0.25">
      <c r="A3" s="2">
        <v>118.83</v>
      </c>
      <c r="B3" s="2" t="s">
        <v>8</v>
      </c>
      <c r="C3" s="2">
        <f>AVERAGE(A:A)</f>
        <v>126.63515873015869</v>
      </c>
      <c r="D3" s="2">
        <v>114.01</v>
      </c>
      <c r="E3" s="2" t="s">
        <v>8</v>
      </c>
      <c r="F3" s="2">
        <f>AVERAGE(D:D)</f>
        <v>111.84633027522941</v>
      </c>
      <c r="G3" s="2">
        <v>108.17</v>
      </c>
      <c r="H3" s="2" t="s">
        <v>8</v>
      </c>
      <c r="I3" s="2">
        <f>AVERAGE(G:G)</f>
        <v>107.22451612903225</v>
      </c>
      <c r="J3" s="3">
        <v>150.99</v>
      </c>
      <c r="K3" s="3" t="s">
        <v>8</v>
      </c>
      <c r="L3" s="3">
        <f>AVERAGE(J:J)</f>
        <v>153.56349999999983</v>
      </c>
      <c r="M3" s="3">
        <v>144.57</v>
      </c>
      <c r="N3" s="3" t="s">
        <v>8</v>
      </c>
      <c r="O3" s="3">
        <f>AVERAGE(M:M)</f>
        <v>149.34399999999999</v>
      </c>
      <c r="P3" s="3">
        <v>142.25</v>
      </c>
      <c r="Q3" s="3" t="s">
        <v>8</v>
      </c>
      <c r="R3" s="3">
        <f>AVERAGE(P:P)</f>
        <v>126.58408333333337</v>
      </c>
      <c r="S3" s="4">
        <v>99.635000000000005</v>
      </c>
      <c r="T3" s="4" t="s">
        <v>26</v>
      </c>
      <c r="U3" s="4">
        <f>MAX(S:S)</f>
        <v>114.63</v>
      </c>
    </row>
    <row r="4" spans="1:21" x14ac:dyDescent="0.25">
      <c r="A4" s="2">
        <v>132.63999999999999</v>
      </c>
      <c r="B4" s="2" t="s">
        <v>18</v>
      </c>
      <c r="C4" s="2">
        <f>C3-C2</f>
        <v>103.13515873015869</v>
      </c>
      <c r="D4" s="2">
        <v>111.19</v>
      </c>
      <c r="E4" s="2" t="s">
        <v>18</v>
      </c>
      <c r="F4" s="2">
        <f>F3-F2</f>
        <v>97.846330275229406</v>
      </c>
      <c r="G4" s="2">
        <v>108.17</v>
      </c>
      <c r="H4" s="2" t="s">
        <v>18</v>
      </c>
      <c r="I4" s="2">
        <f>I3-I2</f>
        <v>93.224516129032253</v>
      </c>
      <c r="J4" s="3">
        <v>157.37</v>
      </c>
      <c r="K4" s="3" t="s">
        <v>18</v>
      </c>
      <c r="L4" s="3">
        <f>L3-L2</f>
        <v>107.06349999999983</v>
      </c>
      <c r="M4" s="3">
        <v>141.30000000000001</v>
      </c>
      <c r="N4" s="3" t="s">
        <v>18</v>
      </c>
      <c r="O4" s="3">
        <f>O3-O2</f>
        <v>105.34399999999999</v>
      </c>
      <c r="P4" s="3">
        <v>118.54</v>
      </c>
      <c r="Q4" s="3" t="s">
        <v>18</v>
      </c>
      <c r="R4" s="3">
        <f>R3-R2</f>
        <v>103.08408333333337</v>
      </c>
      <c r="S4" s="4">
        <v>100.11</v>
      </c>
      <c r="T4" s="4" t="s">
        <v>27</v>
      </c>
      <c r="U4" s="4">
        <f>MEDIAN(S:S)</f>
        <v>100.0355</v>
      </c>
    </row>
    <row r="5" spans="1:21" x14ac:dyDescent="0.25">
      <c r="A5" s="2">
        <v>132.63999999999999</v>
      </c>
      <c r="B5" s="2" t="s">
        <v>28</v>
      </c>
      <c r="C5" s="2">
        <f>U5+C4</f>
        <v>116.13515873015869</v>
      </c>
      <c r="D5" s="2">
        <v>111.19</v>
      </c>
      <c r="E5" s="2" t="s">
        <v>28</v>
      </c>
      <c r="F5" s="2">
        <f>U5+F4</f>
        <v>110.84633027522941</v>
      </c>
      <c r="G5" s="2">
        <v>112.52</v>
      </c>
      <c r="H5" s="2" t="s">
        <v>28</v>
      </c>
      <c r="I5" s="2">
        <f>$U$5+I4</f>
        <v>106.22451612903225</v>
      </c>
      <c r="J5" s="3">
        <v>157.37</v>
      </c>
      <c r="K5" s="3" t="s">
        <v>28</v>
      </c>
      <c r="L5" s="3">
        <f>$U$5+L4</f>
        <v>120.06349999999983</v>
      </c>
      <c r="M5" s="3">
        <v>141.30000000000001</v>
      </c>
      <c r="N5" s="3" t="s">
        <v>28</v>
      </c>
      <c r="O5" s="3">
        <f>$U$5+O4</f>
        <v>118.34399999999999</v>
      </c>
      <c r="P5" s="3">
        <v>118.54</v>
      </c>
      <c r="Q5" s="3" t="s">
        <v>28</v>
      </c>
      <c r="R5" s="3">
        <f>$U$5+R4</f>
        <v>116.08408333333337</v>
      </c>
      <c r="S5" s="4">
        <v>100.11</v>
      </c>
      <c r="T5" s="4" t="s">
        <v>25</v>
      </c>
      <c r="U5" s="4">
        <v>13</v>
      </c>
    </row>
    <row r="6" spans="1:21" x14ac:dyDescent="0.25">
      <c r="A6" s="2">
        <v>126.52</v>
      </c>
      <c r="B6" s="2"/>
      <c r="C6" s="2"/>
      <c r="D6" s="2">
        <v>113.83</v>
      </c>
      <c r="E6" s="2"/>
      <c r="F6" s="2"/>
      <c r="G6" s="2">
        <v>112.52</v>
      </c>
      <c r="H6" s="2"/>
      <c r="I6" s="2"/>
      <c r="J6" s="3">
        <v>153.33000000000001</v>
      </c>
      <c r="K6" s="3"/>
      <c r="L6" s="3"/>
      <c r="M6" s="3">
        <v>164.6</v>
      </c>
      <c r="N6" s="3"/>
      <c r="O6" s="3"/>
      <c r="P6" s="3">
        <v>118.89</v>
      </c>
      <c r="Q6" s="3"/>
      <c r="R6" s="3"/>
      <c r="S6" s="4">
        <v>99.807000000000002</v>
      </c>
      <c r="T6" s="4"/>
      <c r="U6" s="4"/>
    </row>
    <row r="7" spans="1:21" x14ac:dyDescent="0.25">
      <c r="A7" s="2">
        <v>126.52</v>
      </c>
      <c r="B7" s="2"/>
      <c r="C7" s="2"/>
      <c r="D7" s="2">
        <v>113.83</v>
      </c>
      <c r="E7" s="2"/>
      <c r="F7" s="2"/>
      <c r="G7" s="2">
        <v>110.43</v>
      </c>
      <c r="H7" s="2"/>
      <c r="I7" s="2"/>
      <c r="J7" s="3">
        <v>153.33000000000001</v>
      </c>
      <c r="K7" s="3"/>
      <c r="L7" s="3"/>
      <c r="M7" s="3">
        <v>164.6</v>
      </c>
      <c r="N7" s="3"/>
      <c r="O7" s="3"/>
      <c r="P7" s="3">
        <v>118.89</v>
      </c>
      <c r="Q7" s="3"/>
      <c r="R7" s="3"/>
      <c r="S7" s="4">
        <v>99.807000000000002</v>
      </c>
      <c r="T7" s="4"/>
      <c r="U7" s="4"/>
    </row>
    <row r="8" spans="1:21" x14ac:dyDescent="0.25">
      <c r="A8" s="2">
        <v>119.55</v>
      </c>
      <c r="B8" s="2"/>
      <c r="C8" s="2"/>
      <c r="D8" s="2">
        <v>108.49</v>
      </c>
      <c r="E8" s="2"/>
      <c r="F8" s="2"/>
      <c r="G8" s="2">
        <v>110.43</v>
      </c>
      <c r="H8" s="2"/>
      <c r="I8" s="2"/>
      <c r="J8" s="3">
        <v>149.29</v>
      </c>
      <c r="K8" s="3"/>
      <c r="L8" s="3"/>
      <c r="M8" s="3">
        <v>145.04</v>
      </c>
      <c r="N8" s="3"/>
      <c r="O8" s="3"/>
      <c r="P8" s="3">
        <v>128.02000000000001</v>
      </c>
      <c r="Q8" s="3"/>
      <c r="R8" s="3"/>
      <c r="S8" s="4">
        <v>109.67</v>
      </c>
      <c r="T8" s="4"/>
      <c r="U8" s="4"/>
    </row>
    <row r="9" spans="1:21" x14ac:dyDescent="0.25">
      <c r="A9" s="2">
        <v>119.55</v>
      </c>
      <c r="B9" s="2"/>
      <c r="C9" s="2"/>
      <c r="D9" s="2">
        <v>108.49</v>
      </c>
      <c r="E9" s="2"/>
      <c r="F9" s="2"/>
      <c r="G9" s="2">
        <v>106.23</v>
      </c>
      <c r="H9" s="2"/>
      <c r="I9" s="2"/>
      <c r="J9" s="3">
        <v>149.29</v>
      </c>
      <c r="K9" s="3"/>
      <c r="L9" s="3"/>
      <c r="M9" s="3">
        <v>145.04</v>
      </c>
      <c r="N9" s="3"/>
      <c r="O9" s="3"/>
      <c r="P9" s="3">
        <v>128.02000000000001</v>
      </c>
      <c r="Q9" s="3"/>
      <c r="R9" s="3"/>
      <c r="S9" s="4">
        <v>109.67</v>
      </c>
      <c r="T9" s="4"/>
      <c r="U9" s="4"/>
    </row>
    <row r="10" spans="1:21" x14ac:dyDescent="0.25">
      <c r="A10" s="2">
        <v>126.87</v>
      </c>
      <c r="B10" s="2"/>
      <c r="C10" s="2"/>
      <c r="D10" s="2">
        <v>127.61</v>
      </c>
      <c r="E10" s="2"/>
      <c r="F10" s="2"/>
      <c r="G10" s="2">
        <v>106.23</v>
      </c>
      <c r="H10" s="2"/>
      <c r="I10" s="2"/>
      <c r="J10" s="3">
        <v>155.38</v>
      </c>
      <c r="K10" s="3"/>
      <c r="L10" s="3"/>
      <c r="M10" s="3">
        <v>141.27000000000001</v>
      </c>
      <c r="N10" s="3"/>
      <c r="O10" s="3"/>
      <c r="P10" s="3">
        <v>125.42</v>
      </c>
      <c r="Q10" s="3"/>
      <c r="R10" s="3"/>
      <c r="S10" s="4">
        <v>98.622</v>
      </c>
      <c r="T10" s="4"/>
      <c r="U10" s="4"/>
    </row>
    <row r="11" spans="1:21" x14ac:dyDescent="0.25">
      <c r="A11" s="2">
        <v>126.87</v>
      </c>
      <c r="B11" s="2"/>
      <c r="C11" s="2"/>
      <c r="D11" s="2">
        <v>127.61</v>
      </c>
      <c r="E11" s="2"/>
      <c r="F11" s="2"/>
      <c r="G11" s="2">
        <v>110.51</v>
      </c>
      <c r="H11" s="2"/>
      <c r="I11" s="2"/>
      <c r="J11" s="3">
        <v>155.38</v>
      </c>
      <c r="K11" s="3"/>
      <c r="L11" s="3"/>
      <c r="M11" s="3">
        <v>141.27000000000001</v>
      </c>
      <c r="N11" s="3"/>
      <c r="O11" s="3"/>
      <c r="P11" s="3">
        <v>125.42</v>
      </c>
      <c r="Q11" s="3"/>
      <c r="R11" s="3"/>
      <c r="S11" s="4">
        <v>98.622</v>
      </c>
      <c r="T11" s="4"/>
      <c r="U11" s="4"/>
    </row>
    <row r="12" spans="1:21" x14ac:dyDescent="0.25">
      <c r="A12" s="2">
        <v>121.01</v>
      </c>
      <c r="B12" s="2"/>
      <c r="C12" s="2"/>
      <c r="D12" s="2">
        <v>105.92</v>
      </c>
      <c r="E12" s="2"/>
      <c r="F12" s="2"/>
      <c r="G12" s="2">
        <v>110.51</v>
      </c>
      <c r="H12" s="2"/>
      <c r="I12" s="2"/>
      <c r="J12" s="3">
        <v>149.81</v>
      </c>
      <c r="K12" s="3"/>
      <c r="L12" s="3"/>
      <c r="M12" s="3">
        <v>147.22999999999999</v>
      </c>
      <c r="N12" s="3"/>
      <c r="O12" s="3"/>
      <c r="P12" s="3">
        <v>135.87</v>
      </c>
      <c r="Q12" s="3"/>
      <c r="R12" s="3"/>
      <c r="S12" s="4">
        <v>97.878</v>
      </c>
      <c r="T12" s="4"/>
      <c r="U12" s="4"/>
    </row>
    <row r="13" spans="1:21" x14ac:dyDescent="0.25">
      <c r="A13" s="2">
        <v>121.01</v>
      </c>
      <c r="B13" s="2"/>
      <c r="C13" s="2"/>
      <c r="D13" s="2">
        <v>105.92</v>
      </c>
      <c r="E13" s="2"/>
      <c r="F13" s="2"/>
      <c r="G13" s="2">
        <v>102.57</v>
      </c>
      <c r="H13" s="2"/>
      <c r="I13" s="2"/>
      <c r="J13" s="3">
        <v>149.81</v>
      </c>
      <c r="K13" s="3"/>
      <c r="L13" s="3"/>
      <c r="M13" s="3">
        <v>147.22999999999999</v>
      </c>
      <c r="N13" s="3"/>
      <c r="O13" s="3"/>
      <c r="P13" s="3">
        <v>135.87</v>
      </c>
      <c r="Q13" s="3"/>
      <c r="R13" s="3"/>
      <c r="S13" s="4">
        <v>97.878</v>
      </c>
      <c r="T13" s="4"/>
      <c r="U13" s="4"/>
    </row>
    <row r="14" spans="1:21" x14ac:dyDescent="0.25">
      <c r="A14" s="2">
        <v>134.9</v>
      </c>
      <c r="B14" s="2"/>
      <c r="C14" s="2"/>
      <c r="D14" s="2">
        <v>106.79</v>
      </c>
      <c r="E14" s="2"/>
      <c r="F14" s="2"/>
      <c r="G14" s="2">
        <v>104</v>
      </c>
      <c r="H14" s="2"/>
      <c r="I14" s="2"/>
      <c r="J14" s="3">
        <v>149.22</v>
      </c>
      <c r="K14" s="3"/>
      <c r="L14" s="3"/>
      <c r="M14" s="3">
        <v>146.91</v>
      </c>
      <c r="N14" s="3"/>
      <c r="O14" s="3"/>
      <c r="P14" s="3">
        <v>121.04</v>
      </c>
      <c r="Q14" s="3"/>
      <c r="R14" s="3"/>
      <c r="S14" s="4">
        <v>98.296999999999997</v>
      </c>
      <c r="T14" s="4"/>
      <c r="U14" s="4"/>
    </row>
    <row r="15" spans="1:21" x14ac:dyDescent="0.25">
      <c r="A15" s="2">
        <v>134.9</v>
      </c>
      <c r="B15" s="2"/>
      <c r="C15" s="2"/>
      <c r="D15" s="2">
        <v>106.79</v>
      </c>
      <c r="E15" s="2"/>
      <c r="F15" s="2"/>
      <c r="G15" s="2">
        <v>104</v>
      </c>
      <c r="H15" s="2"/>
      <c r="I15" s="2"/>
      <c r="J15" s="3">
        <v>149.22</v>
      </c>
      <c r="K15" s="3"/>
      <c r="L15" s="3"/>
      <c r="M15" s="3">
        <v>146.91</v>
      </c>
      <c r="N15" s="3"/>
      <c r="O15" s="3"/>
      <c r="P15" s="3">
        <v>121.04</v>
      </c>
      <c r="Q15" s="3"/>
      <c r="R15" s="3"/>
      <c r="S15" s="4">
        <v>98.296999999999997</v>
      </c>
      <c r="T15" s="4"/>
      <c r="U15" s="4"/>
    </row>
    <row r="16" spans="1:21" x14ac:dyDescent="0.25">
      <c r="A16" s="2">
        <v>123.46</v>
      </c>
      <c r="B16" s="2"/>
      <c r="C16" s="2"/>
      <c r="D16" s="2">
        <v>106.17</v>
      </c>
      <c r="E16" s="2"/>
      <c r="F16" s="2"/>
      <c r="G16" s="2">
        <v>111.26</v>
      </c>
      <c r="H16" s="2"/>
      <c r="I16" s="2"/>
      <c r="J16" s="3">
        <v>152.52000000000001</v>
      </c>
      <c r="K16" s="3"/>
      <c r="L16" s="3"/>
      <c r="M16" s="3">
        <v>160.1</v>
      </c>
      <c r="N16" s="3"/>
      <c r="O16" s="3"/>
      <c r="P16" s="3">
        <v>119</v>
      </c>
      <c r="Q16" s="3"/>
      <c r="R16" s="3"/>
      <c r="S16" s="4">
        <v>100.56</v>
      </c>
      <c r="T16" s="4"/>
      <c r="U16" s="4"/>
    </row>
    <row r="17" spans="1:21" x14ac:dyDescent="0.25">
      <c r="A17" s="2">
        <v>123.46</v>
      </c>
      <c r="B17" s="2"/>
      <c r="C17" s="2"/>
      <c r="D17" s="2">
        <v>106.17</v>
      </c>
      <c r="E17" s="2"/>
      <c r="F17" s="2"/>
      <c r="G17" s="2">
        <v>111.26</v>
      </c>
      <c r="H17" s="2"/>
      <c r="I17" s="2"/>
      <c r="J17" s="3">
        <v>152.52000000000001</v>
      </c>
      <c r="K17" s="3"/>
      <c r="L17" s="3"/>
      <c r="M17" s="3">
        <v>160.1</v>
      </c>
      <c r="N17" s="3"/>
      <c r="O17" s="3"/>
      <c r="P17" s="3">
        <v>119</v>
      </c>
      <c r="Q17" s="3"/>
      <c r="R17" s="3"/>
      <c r="S17" s="4">
        <v>100.56</v>
      </c>
      <c r="T17" s="4"/>
      <c r="U17" s="4"/>
    </row>
    <row r="18" spans="1:21" x14ac:dyDescent="0.25">
      <c r="A18" s="2">
        <v>119.26</v>
      </c>
      <c r="B18" s="2"/>
      <c r="C18" s="2"/>
      <c r="D18" s="2">
        <v>117.14</v>
      </c>
      <c r="E18" s="2"/>
      <c r="F18" s="2"/>
      <c r="G18" s="2">
        <v>104.87</v>
      </c>
      <c r="H18" s="2"/>
      <c r="I18" s="2"/>
      <c r="J18" s="3">
        <v>151.13999999999999</v>
      </c>
      <c r="K18" s="3"/>
      <c r="L18" s="3"/>
      <c r="M18" s="3">
        <v>182.55</v>
      </c>
      <c r="N18" s="3"/>
      <c r="O18" s="3"/>
      <c r="P18" s="3">
        <v>143.32</v>
      </c>
      <c r="Q18" s="3"/>
      <c r="R18" s="3"/>
      <c r="S18" s="4">
        <v>99.313000000000002</v>
      </c>
      <c r="T18" s="4"/>
      <c r="U18" s="4"/>
    </row>
    <row r="19" spans="1:21" x14ac:dyDescent="0.25">
      <c r="A19" s="2">
        <v>119.26</v>
      </c>
      <c r="B19" s="2"/>
      <c r="C19" s="2"/>
      <c r="D19" s="2">
        <v>117.14</v>
      </c>
      <c r="E19" s="2"/>
      <c r="F19" s="2"/>
      <c r="G19" s="2">
        <v>104.87</v>
      </c>
      <c r="H19" s="2"/>
      <c r="I19" s="2"/>
      <c r="J19" s="3">
        <v>151.13999999999999</v>
      </c>
      <c r="K19" s="3"/>
      <c r="L19" s="3"/>
      <c r="M19" s="3">
        <v>182.55</v>
      </c>
      <c r="N19" s="3"/>
      <c r="O19" s="3"/>
      <c r="P19" s="3">
        <v>143.32</v>
      </c>
      <c r="Q19" s="3"/>
      <c r="R19" s="3"/>
      <c r="S19" s="4">
        <v>99.313000000000002</v>
      </c>
      <c r="T19" s="4"/>
      <c r="U19" s="4"/>
    </row>
    <row r="20" spans="1:21" x14ac:dyDescent="0.25">
      <c r="A20" s="2">
        <v>125.55</v>
      </c>
      <c r="B20" s="2"/>
      <c r="C20" s="2"/>
      <c r="D20" s="2">
        <v>124.32</v>
      </c>
      <c r="E20" s="2"/>
      <c r="F20" s="2"/>
      <c r="G20" s="2">
        <v>104.17</v>
      </c>
      <c r="H20" s="2"/>
      <c r="I20" s="2"/>
      <c r="J20" s="3">
        <v>148.12</v>
      </c>
      <c r="K20" s="3"/>
      <c r="L20" s="3"/>
      <c r="M20" s="3">
        <v>144.56</v>
      </c>
      <c r="N20" s="3"/>
      <c r="O20" s="3"/>
      <c r="P20" s="3">
        <v>121.66</v>
      </c>
      <c r="Q20" s="3"/>
      <c r="R20" s="3"/>
      <c r="S20" s="4">
        <v>99.960999999999999</v>
      </c>
      <c r="T20" s="4"/>
      <c r="U20" s="4"/>
    </row>
    <row r="21" spans="1:21" x14ac:dyDescent="0.25">
      <c r="A21" s="2">
        <v>125.55</v>
      </c>
      <c r="B21" s="2"/>
      <c r="C21" s="2"/>
      <c r="D21" s="2">
        <v>124.32</v>
      </c>
      <c r="E21" s="2"/>
      <c r="F21" s="2"/>
      <c r="G21" s="2">
        <v>104.17</v>
      </c>
      <c r="H21" s="2"/>
      <c r="I21" s="2"/>
      <c r="J21" s="3">
        <v>148.12</v>
      </c>
      <c r="K21" s="3"/>
      <c r="L21" s="3"/>
      <c r="M21" s="3">
        <v>144.56</v>
      </c>
      <c r="N21" s="3"/>
      <c r="O21" s="3"/>
      <c r="P21" s="3">
        <v>121.66</v>
      </c>
      <c r="Q21" s="3"/>
      <c r="R21" s="3"/>
      <c r="S21" s="4">
        <v>99.960999999999999</v>
      </c>
      <c r="T21" s="4"/>
      <c r="U21" s="4"/>
    </row>
    <row r="22" spans="1:21" x14ac:dyDescent="0.25">
      <c r="A22" s="2">
        <v>135.37</v>
      </c>
      <c r="B22" s="2"/>
      <c r="C22" s="2"/>
      <c r="D22" s="2">
        <v>104.08</v>
      </c>
      <c r="E22" s="2"/>
      <c r="F22" s="2"/>
      <c r="G22" s="2">
        <v>113.89</v>
      </c>
      <c r="H22" s="2"/>
      <c r="I22" s="2"/>
      <c r="J22" s="3">
        <v>155.54</v>
      </c>
      <c r="K22" s="3"/>
      <c r="L22" s="3"/>
      <c r="M22" s="3">
        <v>144.01</v>
      </c>
      <c r="N22" s="3"/>
      <c r="O22" s="3"/>
      <c r="P22" s="3">
        <v>133.05000000000001</v>
      </c>
      <c r="Q22" s="3"/>
      <c r="R22" s="3"/>
      <c r="S22" s="4">
        <v>100.48</v>
      </c>
      <c r="T22" s="4"/>
      <c r="U22" s="4"/>
    </row>
    <row r="23" spans="1:21" x14ac:dyDescent="0.25">
      <c r="A23" s="2">
        <v>135.37</v>
      </c>
      <c r="B23" s="2"/>
      <c r="C23" s="2"/>
      <c r="D23" s="2">
        <v>104.08</v>
      </c>
      <c r="E23" s="2"/>
      <c r="F23" s="2"/>
      <c r="G23" s="2">
        <v>113.89</v>
      </c>
      <c r="H23" s="2"/>
      <c r="I23" s="2"/>
      <c r="J23" s="3">
        <v>155.54</v>
      </c>
      <c r="K23" s="3"/>
      <c r="L23" s="3"/>
      <c r="M23" s="3">
        <v>144.01</v>
      </c>
      <c r="N23" s="3"/>
      <c r="O23" s="3"/>
      <c r="P23" s="3">
        <v>133.05000000000001</v>
      </c>
      <c r="Q23" s="3"/>
      <c r="R23" s="3"/>
      <c r="S23" s="4">
        <v>100.48</v>
      </c>
      <c r="T23" s="4"/>
      <c r="U23" s="4"/>
    </row>
    <row r="24" spans="1:21" x14ac:dyDescent="0.25">
      <c r="A24" s="2">
        <v>147.79</v>
      </c>
      <c r="B24" s="2"/>
      <c r="C24" s="2"/>
      <c r="D24" s="2">
        <v>107.81</v>
      </c>
      <c r="E24" s="2"/>
      <c r="F24" s="2"/>
      <c r="G24" s="2">
        <v>103.2</v>
      </c>
      <c r="H24" s="2"/>
      <c r="I24" s="2"/>
      <c r="J24" s="3">
        <v>157.51</v>
      </c>
      <c r="K24" s="3"/>
      <c r="L24" s="3"/>
      <c r="M24" s="3">
        <v>145.49</v>
      </c>
      <c r="N24" s="3"/>
      <c r="O24" s="3"/>
      <c r="P24" s="3">
        <v>118.6</v>
      </c>
      <c r="Q24" s="3"/>
      <c r="R24" s="3"/>
      <c r="S24" s="4">
        <v>109.93</v>
      </c>
      <c r="T24" s="4"/>
      <c r="U24" s="4"/>
    </row>
    <row r="25" spans="1:21" x14ac:dyDescent="0.25">
      <c r="A25" s="2">
        <v>147.79</v>
      </c>
      <c r="B25" s="2"/>
      <c r="C25" s="2"/>
      <c r="D25" s="2">
        <v>107.81</v>
      </c>
      <c r="E25" s="2"/>
      <c r="F25" s="2"/>
      <c r="G25" s="2">
        <v>103.2</v>
      </c>
      <c r="H25" s="2"/>
      <c r="I25" s="2"/>
      <c r="J25" s="3">
        <v>157.51</v>
      </c>
      <c r="K25" s="3"/>
      <c r="L25" s="3"/>
      <c r="M25" s="3">
        <v>145.49</v>
      </c>
      <c r="N25" s="3"/>
      <c r="O25" s="3"/>
      <c r="P25" s="3">
        <v>118.6</v>
      </c>
      <c r="Q25" s="3"/>
      <c r="R25" s="3"/>
      <c r="S25" s="4">
        <v>109.93</v>
      </c>
      <c r="T25" s="4"/>
      <c r="U25" s="4"/>
    </row>
    <row r="26" spans="1:21" x14ac:dyDescent="0.25">
      <c r="A26" s="2">
        <v>119.68</v>
      </c>
      <c r="B26" s="2"/>
      <c r="C26" s="2"/>
      <c r="D26" s="2">
        <v>104.79</v>
      </c>
      <c r="E26" s="2"/>
      <c r="F26" s="2"/>
      <c r="G26" s="2">
        <v>103.31</v>
      </c>
      <c r="H26" s="2"/>
      <c r="I26" s="2"/>
      <c r="J26" s="3">
        <v>148.13</v>
      </c>
      <c r="K26" s="3"/>
      <c r="L26" s="3"/>
      <c r="M26" s="3">
        <v>153.82</v>
      </c>
      <c r="N26" s="3"/>
      <c r="O26" s="3"/>
      <c r="P26" s="3">
        <v>126.99</v>
      </c>
      <c r="Q26" s="3"/>
      <c r="R26" s="3"/>
      <c r="S26" s="4">
        <v>102.51</v>
      </c>
      <c r="T26" s="4"/>
      <c r="U26" s="4"/>
    </row>
    <row r="27" spans="1:21" x14ac:dyDescent="0.25">
      <c r="A27" s="2">
        <v>123.73</v>
      </c>
      <c r="B27" s="2"/>
      <c r="C27" s="2"/>
      <c r="D27" s="2">
        <v>104.79</v>
      </c>
      <c r="E27" s="2"/>
      <c r="F27" s="2"/>
      <c r="G27" s="2">
        <v>103.31</v>
      </c>
      <c r="H27" s="2"/>
      <c r="I27" s="2"/>
      <c r="J27" s="3">
        <v>148.13</v>
      </c>
      <c r="K27" s="3"/>
      <c r="L27" s="3"/>
      <c r="M27" s="3">
        <v>153.82</v>
      </c>
      <c r="N27" s="3"/>
      <c r="O27" s="3"/>
      <c r="P27" s="3">
        <v>126.99</v>
      </c>
      <c r="Q27" s="3"/>
      <c r="R27" s="3"/>
      <c r="S27" s="4">
        <v>102.51</v>
      </c>
      <c r="T27" s="4"/>
      <c r="U27" s="4"/>
    </row>
    <row r="28" spans="1:21" x14ac:dyDescent="0.25">
      <c r="A28" s="2">
        <v>123.73</v>
      </c>
      <c r="B28" s="2"/>
      <c r="C28" s="2"/>
      <c r="D28" s="2">
        <v>105.61</v>
      </c>
      <c r="E28" s="2"/>
      <c r="F28" s="2"/>
      <c r="G28" s="2">
        <v>108.95</v>
      </c>
      <c r="H28" s="2"/>
      <c r="I28" s="2"/>
      <c r="J28" s="3">
        <v>152.19</v>
      </c>
      <c r="K28" s="3"/>
      <c r="L28" s="3"/>
      <c r="M28" s="3">
        <v>144.62</v>
      </c>
      <c r="N28" s="3"/>
      <c r="O28" s="3"/>
      <c r="P28" s="3">
        <v>147.96</v>
      </c>
      <c r="Q28" s="3"/>
      <c r="R28" s="3"/>
      <c r="S28" s="4">
        <v>97.61</v>
      </c>
      <c r="T28" s="4"/>
      <c r="U28" s="4"/>
    </row>
    <row r="29" spans="1:21" x14ac:dyDescent="0.25">
      <c r="A29" s="2">
        <v>120.75</v>
      </c>
      <c r="B29" s="2"/>
      <c r="C29" s="2"/>
      <c r="D29" s="2">
        <v>105.61</v>
      </c>
      <c r="E29" s="2"/>
      <c r="F29" s="2"/>
      <c r="G29" s="2">
        <v>108.95</v>
      </c>
      <c r="H29" s="2"/>
      <c r="I29" s="2"/>
      <c r="J29" s="3">
        <v>152.19</v>
      </c>
      <c r="K29" s="3"/>
      <c r="L29" s="3"/>
      <c r="M29" s="3">
        <v>144.62</v>
      </c>
      <c r="N29" s="3"/>
      <c r="O29" s="3"/>
      <c r="P29" s="3">
        <v>147.96</v>
      </c>
      <c r="Q29" s="3"/>
      <c r="R29" s="3"/>
      <c r="S29" s="4">
        <v>97.61</v>
      </c>
      <c r="T29" s="4"/>
      <c r="U29" s="4"/>
    </row>
    <row r="30" spans="1:21" x14ac:dyDescent="0.25">
      <c r="A30" s="2">
        <v>120.75</v>
      </c>
      <c r="B30" s="2"/>
      <c r="C30" s="2"/>
      <c r="D30" s="2">
        <v>126.38</v>
      </c>
      <c r="E30" s="2"/>
      <c r="F30" s="2"/>
      <c r="G30" s="2">
        <v>105.31</v>
      </c>
      <c r="H30" s="2"/>
      <c r="I30" s="2"/>
      <c r="J30" s="3">
        <v>150.01</v>
      </c>
      <c r="K30" s="3"/>
      <c r="L30" s="3"/>
      <c r="M30" s="3">
        <v>149.97999999999999</v>
      </c>
      <c r="N30" s="3"/>
      <c r="O30" s="3"/>
      <c r="P30" s="3">
        <v>117.76</v>
      </c>
      <c r="Q30" s="3"/>
      <c r="R30" s="3"/>
      <c r="S30" s="4">
        <v>100.2</v>
      </c>
      <c r="T30" s="4"/>
      <c r="U30" s="4"/>
    </row>
    <row r="31" spans="1:21" x14ac:dyDescent="0.25">
      <c r="A31" s="2">
        <v>120.75</v>
      </c>
      <c r="B31" s="2"/>
      <c r="C31" s="2"/>
      <c r="D31" s="2">
        <v>126.38</v>
      </c>
      <c r="E31" s="2"/>
      <c r="F31" s="2"/>
      <c r="G31" s="2">
        <v>105.31</v>
      </c>
      <c r="H31" s="2"/>
      <c r="I31" s="2"/>
      <c r="J31" s="3">
        <v>150.01</v>
      </c>
      <c r="K31" s="3"/>
      <c r="L31" s="3"/>
      <c r="M31" s="3">
        <v>149.97999999999999</v>
      </c>
      <c r="N31" s="3"/>
      <c r="O31" s="3"/>
      <c r="P31" s="3">
        <v>117.76</v>
      </c>
      <c r="Q31" s="3"/>
      <c r="R31" s="3"/>
      <c r="S31" s="4">
        <v>100.2</v>
      </c>
      <c r="T31" s="4"/>
      <c r="U31" s="4"/>
    </row>
    <row r="32" spans="1:21" x14ac:dyDescent="0.25">
      <c r="A32" s="2">
        <v>119.45</v>
      </c>
      <c r="B32" s="2"/>
      <c r="C32" s="2"/>
      <c r="D32" s="2">
        <v>105.23</v>
      </c>
      <c r="E32" s="2"/>
      <c r="F32" s="2"/>
      <c r="G32" s="2">
        <v>102.25</v>
      </c>
      <c r="H32" s="2"/>
      <c r="I32" s="2"/>
      <c r="J32" s="3">
        <v>147.94999999999999</v>
      </c>
      <c r="K32" s="3"/>
      <c r="L32" s="3"/>
      <c r="M32" s="3">
        <v>148.65</v>
      </c>
      <c r="N32" s="3"/>
      <c r="O32" s="3"/>
      <c r="P32" s="3">
        <v>126.59</v>
      </c>
      <c r="Q32" s="3"/>
      <c r="R32" s="3"/>
      <c r="S32" s="4">
        <v>98.347999999999999</v>
      </c>
      <c r="T32" s="4"/>
      <c r="U32" s="4"/>
    </row>
    <row r="33" spans="1:21" x14ac:dyDescent="0.25">
      <c r="A33" s="2">
        <v>123.68</v>
      </c>
      <c r="B33" s="2"/>
      <c r="C33" s="2"/>
      <c r="D33" s="2">
        <v>105.23</v>
      </c>
      <c r="E33" s="2"/>
      <c r="F33" s="2"/>
      <c r="G33" s="2">
        <v>102.25</v>
      </c>
      <c r="H33" s="2"/>
      <c r="I33" s="2"/>
      <c r="J33" s="3">
        <v>147.94999999999999</v>
      </c>
      <c r="K33" s="3"/>
      <c r="L33" s="3"/>
      <c r="M33" s="3">
        <v>148.65</v>
      </c>
      <c r="N33" s="3"/>
      <c r="O33" s="3"/>
      <c r="P33" s="3">
        <v>126.59</v>
      </c>
      <c r="Q33" s="3"/>
      <c r="R33" s="3"/>
      <c r="S33" s="4">
        <v>98.347999999999999</v>
      </c>
      <c r="T33" s="4"/>
      <c r="U33" s="4"/>
    </row>
    <row r="34" spans="1:21" x14ac:dyDescent="0.25">
      <c r="A34" s="2">
        <v>123.68</v>
      </c>
      <c r="B34" s="2"/>
      <c r="C34" s="2"/>
      <c r="D34" s="2">
        <v>114.19</v>
      </c>
      <c r="E34" s="2"/>
      <c r="F34" s="2"/>
      <c r="G34" s="2">
        <v>114.26</v>
      </c>
      <c r="H34" s="2"/>
      <c r="I34" s="2"/>
      <c r="J34" s="3">
        <v>157.12</v>
      </c>
      <c r="K34" s="3"/>
      <c r="L34" s="3"/>
      <c r="M34" s="3">
        <v>145.21</v>
      </c>
      <c r="N34" s="3"/>
      <c r="O34" s="3"/>
      <c r="P34" s="3">
        <v>118.54</v>
      </c>
      <c r="Q34" s="3"/>
      <c r="R34" s="3"/>
      <c r="S34" s="4">
        <v>97.584999999999994</v>
      </c>
      <c r="T34" s="4"/>
      <c r="U34" s="4"/>
    </row>
    <row r="35" spans="1:21" x14ac:dyDescent="0.25">
      <c r="A35" s="2">
        <v>125.32</v>
      </c>
      <c r="B35" s="2"/>
      <c r="C35" s="2"/>
      <c r="D35" s="2">
        <v>114.19</v>
      </c>
      <c r="E35" s="2"/>
      <c r="F35" s="2"/>
      <c r="G35" s="2">
        <v>114.26</v>
      </c>
      <c r="H35" s="2"/>
      <c r="I35" s="2"/>
      <c r="J35" s="3">
        <v>157.12</v>
      </c>
      <c r="K35" s="3"/>
      <c r="L35" s="3"/>
      <c r="M35" s="3">
        <v>145.21</v>
      </c>
      <c r="N35" s="3"/>
      <c r="O35" s="3"/>
      <c r="P35" s="3">
        <v>118.54</v>
      </c>
      <c r="Q35" s="3"/>
      <c r="R35" s="3"/>
      <c r="S35" s="4">
        <v>97.584999999999994</v>
      </c>
      <c r="T35" s="4"/>
      <c r="U35" s="4"/>
    </row>
    <row r="36" spans="1:21" x14ac:dyDescent="0.25">
      <c r="A36" s="2">
        <v>125.32</v>
      </c>
      <c r="B36" s="2"/>
      <c r="C36" s="2"/>
      <c r="D36" s="2">
        <v>115.78</v>
      </c>
      <c r="E36" s="2"/>
      <c r="F36" s="2"/>
      <c r="G36" s="2">
        <v>105.84</v>
      </c>
      <c r="H36" s="2"/>
      <c r="I36" s="2"/>
      <c r="J36" s="3">
        <v>151.81</v>
      </c>
      <c r="K36" s="3"/>
      <c r="L36" s="3"/>
      <c r="M36" s="3">
        <v>150.63</v>
      </c>
      <c r="N36" s="3"/>
      <c r="O36" s="3"/>
      <c r="P36" s="3">
        <v>118.39</v>
      </c>
      <c r="Q36" s="3"/>
      <c r="R36" s="3"/>
      <c r="S36" s="4">
        <v>105.46</v>
      </c>
      <c r="T36" s="4"/>
      <c r="U36" s="4"/>
    </row>
    <row r="37" spans="1:21" x14ac:dyDescent="0.25">
      <c r="A37" s="2">
        <v>120.65</v>
      </c>
      <c r="B37" s="2"/>
      <c r="C37" s="2"/>
      <c r="D37" s="2">
        <v>115.78</v>
      </c>
      <c r="E37" s="2"/>
      <c r="F37" s="2"/>
      <c r="G37" s="2">
        <v>105.84</v>
      </c>
      <c r="H37" s="2"/>
      <c r="I37" s="2"/>
      <c r="J37" s="3">
        <v>151.81</v>
      </c>
      <c r="K37" s="3"/>
      <c r="L37" s="3"/>
      <c r="M37" s="3">
        <v>150.63</v>
      </c>
      <c r="N37" s="3"/>
      <c r="O37" s="3"/>
      <c r="P37" s="3">
        <v>118.39</v>
      </c>
      <c r="Q37" s="3"/>
      <c r="R37" s="3"/>
      <c r="S37" s="4">
        <v>105.46</v>
      </c>
      <c r="T37" s="4"/>
      <c r="U37" s="4"/>
    </row>
    <row r="38" spans="1:21" x14ac:dyDescent="0.25">
      <c r="A38" s="2">
        <v>120.65</v>
      </c>
      <c r="B38" s="2"/>
      <c r="C38" s="2"/>
      <c r="D38" s="2">
        <v>102.66</v>
      </c>
      <c r="E38" s="2"/>
      <c r="F38" s="2"/>
      <c r="G38" s="2">
        <v>102.67</v>
      </c>
      <c r="H38" s="2"/>
      <c r="I38" s="2"/>
      <c r="J38" s="3">
        <v>148.21</v>
      </c>
      <c r="K38" s="3"/>
      <c r="L38" s="3"/>
      <c r="M38" s="3">
        <v>144.68</v>
      </c>
      <c r="N38" s="3"/>
      <c r="O38" s="3"/>
      <c r="P38" s="3">
        <v>137.99</v>
      </c>
      <c r="Q38" s="3"/>
      <c r="R38" s="3"/>
      <c r="S38" s="4">
        <v>96.787000000000006</v>
      </c>
      <c r="T38" s="4"/>
      <c r="U38" s="4"/>
    </row>
    <row r="39" spans="1:21" x14ac:dyDescent="0.25">
      <c r="A39" s="2">
        <v>126.75</v>
      </c>
      <c r="B39" s="2"/>
      <c r="C39" s="2"/>
      <c r="D39" s="2">
        <v>102.66</v>
      </c>
      <c r="E39" s="2"/>
      <c r="F39" s="2"/>
      <c r="G39" s="2">
        <v>102.67</v>
      </c>
      <c r="H39" s="2"/>
      <c r="I39" s="2"/>
      <c r="J39" s="3">
        <v>148.21</v>
      </c>
      <c r="K39" s="3"/>
      <c r="L39" s="3"/>
      <c r="M39" s="3">
        <v>144.68</v>
      </c>
      <c r="N39" s="3"/>
      <c r="O39" s="3"/>
      <c r="P39" s="3">
        <v>137.99</v>
      </c>
      <c r="Q39" s="3"/>
      <c r="R39" s="3"/>
      <c r="S39" s="4">
        <v>96.787000000000006</v>
      </c>
      <c r="T39" s="4"/>
      <c r="U39" s="4"/>
    </row>
    <row r="40" spans="1:21" x14ac:dyDescent="0.25">
      <c r="A40" s="2">
        <v>126.75</v>
      </c>
      <c r="B40" s="2"/>
      <c r="C40" s="2"/>
      <c r="D40" s="2">
        <v>116.25</v>
      </c>
      <c r="E40" s="2"/>
      <c r="F40" s="2"/>
      <c r="G40" s="2">
        <v>105.24</v>
      </c>
      <c r="H40" s="2"/>
      <c r="I40" s="2"/>
      <c r="J40" s="3">
        <v>157.4</v>
      </c>
      <c r="K40" s="3"/>
      <c r="L40" s="3"/>
      <c r="M40" s="3">
        <v>143.53</v>
      </c>
      <c r="N40" s="3"/>
      <c r="O40" s="3"/>
      <c r="P40" s="3">
        <v>120.97</v>
      </c>
      <c r="Q40" s="3"/>
      <c r="R40" s="3"/>
      <c r="S40" s="4">
        <v>98.125</v>
      </c>
      <c r="T40" s="4"/>
      <c r="U40" s="4"/>
    </row>
    <row r="41" spans="1:21" x14ac:dyDescent="0.25">
      <c r="A41" s="2">
        <v>130.37</v>
      </c>
      <c r="B41" s="2"/>
      <c r="C41" s="2"/>
      <c r="D41" s="2">
        <v>116.25</v>
      </c>
      <c r="E41" s="2"/>
      <c r="F41" s="2"/>
      <c r="G41" s="2">
        <v>105.24</v>
      </c>
      <c r="H41" s="2"/>
      <c r="I41" s="2"/>
      <c r="J41" s="3">
        <v>157.4</v>
      </c>
      <c r="K41" s="3"/>
      <c r="L41" s="3"/>
      <c r="M41" s="3">
        <v>143.53</v>
      </c>
      <c r="N41" s="3"/>
      <c r="O41" s="3"/>
      <c r="P41" s="3">
        <v>120.97</v>
      </c>
      <c r="Q41" s="3"/>
      <c r="R41" s="3"/>
      <c r="S41" s="4">
        <v>98.125</v>
      </c>
      <c r="T41" s="4"/>
      <c r="U41" s="4"/>
    </row>
    <row r="42" spans="1:21" x14ac:dyDescent="0.25">
      <c r="A42" s="2">
        <v>130.37</v>
      </c>
      <c r="B42" s="2"/>
      <c r="C42" s="2"/>
      <c r="D42" s="2">
        <v>106.96</v>
      </c>
      <c r="E42" s="2"/>
      <c r="F42" s="2"/>
      <c r="G42" s="2">
        <v>104.66</v>
      </c>
      <c r="H42" s="2"/>
      <c r="I42" s="2"/>
      <c r="J42" s="3">
        <v>153.26</v>
      </c>
      <c r="K42" s="3"/>
      <c r="L42" s="3"/>
      <c r="M42" s="3">
        <v>144.82</v>
      </c>
      <c r="N42" s="3"/>
      <c r="O42" s="3"/>
      <c r="P42" s="3">
        <v>142.51</v>
      </c>
      <c r="Q42" s="3"/>
      <c r="R42" s="3"/>
      <c r="S42" s="4">
        <v>109.76</v>
      </c>
      <c r="T42" s="4"/>
      <c r="U42" s="4"/>
    </row>
    <row r="43" spans="1:21" x14ac:dyDescent="0.25">
      <c r="A43" s="2">
        <v>126.5</v>
      </c>
      <c r="B43" s="2"/>
      <c r="C43" s="2"/>
      <c r="D43" s="2">
        <v>106.96</v>
      </c>
      <c r="E43" s="2"/>
      <c r="F43" s="2"/>
      <c r="G43" s="2">
        <v>104.66</v>
      </c>
      <c r="H43" s="2"/>
      <c r="I43" s="2"/>
      <c r="J43" s="3">
        <v>153.26</v>
      </c>
      <c r="K43" s="3"/>
      <c r="L43" s="3"/>
      <c r="M43" s="3">
        <v>144.82</v>
      </c>
      <c r="N43" s="3"/>
      <c r="O43" s="3"/>
      <c r="P43" s="3">
        <v>142.51</v>
      </c>
      <c r="Q43" s="3"/>
      <c r="R43" s="3"/>
      <c r="S43" s="4">
        <v>109.76</v>
      </c>
      <c r="T43" s="4"/>
      <c r="U43" s="4"/>
    </row>
    <row r="44" spans="1:21" x14ac:dyDescent="0.25">
      <c r="A44" s="2">
        <v>126.5</v>
      </c>
      <c r="B44" s="2"/>
      <c r="C44" s="2"/>
      <c r="D44" s="2">
        <v>110.33</v>
      </c>
      <c r="E44" s="2"/>
      <c r="F44" s="2"/>
      <c r="G44" s="2">
        <v>102.35</v>
      </c>
      <c r="H44" s="2"/>
      <c r="I44" s="2"/>
      <c r="J44" s="3">
        <v>160.63999999999999</v>
      </c>
      <c r="K44" s="3"/>
      <c r="L44" s="3"/>
      <c r="M44" s="3">
        <v>144.37</v>
      </c>
      <c r="N44" s="3"/>
      <c r="O44" s="3"/>
      <c r="P44" s="3">
        <v>117.97</v>
      </c>
      <c r="Q44" s="3"/>
      <c r="R44" s="3"/>
      <c r="S44" s="4">
        <v>96.031000000000006</v>
      </c>
      <c r="T44" s="4"/>
      <c r="U44" s="4"/>
    </row>
    <row r="45" spans="1:21" x14ac:dyDescent="0.25">
      <c r="A45" s="2">
        <v>125.25</v>
      </c>
      <c r="B45" s="2"/>
      <c r="C45" s="2"/>
      <c r="D45" s="2">
        <v>110.33</v>
      </c>
      <c r="E45" s="2"/>
      <c r="F45" s="2"/>
      <c r="G45" s="2">
        <v>102.35</v>
      </c>
      <c r="H45" s="2"/>
      <c r="I45" s="2"/>
      <c r="J45" s="3">
        <v>160.63999999999999</v>
      </c>
      <c r="K45" s="3"/>
      <c r="L45" s="3"/>
      <c r="M45" s="3">
        <v>144.37</v>
      </c>
      <c r="N45" s="3"/>
      <c r="O45" s="3"/>
      <c r="P45" s="3">
        <v>117.97</v>
      </c>
      <c r="Q45" s="3"/>
      <c r="R45" s="3"/>
      <c r="S45" s="4">
        <v>96.031000000000006</v>
      </c>
      <c r="T45" s="4"/>
      <c r="U45" s="4"/>
    </row>
    <row r="46" spans="1:21" x14ac:dyDescent="0.25">
      <c r="A46" s="2">
        <v>125.25</v>
      </c>
      <c r="B46" s="2"/>
      <c r="C46" s="2"/>
      <c r="D46" s="2">
        <v>105</v>
      </c>
      <c r="E46" s="2"/>
      <c r="F46" s="2"/>
      <c r="G46" s="2">
        <v>109.83</v>
      </c>
      <c r="H46" s="2"/>
      <c r="I46" s="2"/>
      <c r="J46" s="3">
        <v>151.31</v>
      </c>
      <c r="K46" s="3"/>
      <c r="L46" s="3"/>
      <c r="M46" s="3">
        <v>154.02000000000001</v>
      </c>
      <c r="N46" s="3"/>
      <c r="O46" s="3"/>
      <c r="P46" s="3">
        <v>120.14</v>
      </c>
      <c r="Q46" s="3"/>
      <c r="R46" s="3"/>
      <c r="S46" s="4">
        <v>100.16</v>
      </c>
      <c r="T46" s="4"/>
      <c r="U46" s="4"/>
    </row>
    <row r="47" spans="1:21" x14ac:dyDescent="0.25">
      <c r="A47" s="2">
        <v>121.45</v>
      </c>
      <c r="B47" s="2"/>
      <c r="C47" s="2"/>
      <c r="D47" s="2">
        <v>105</v>
      </c>
      <c r="E47" s="2"/>
      <c r="F47" s="2"/>
      <c r="G47" s="2">
        <v>109.83</v>
      </c>
      <c r="H47" s="2"/>
      <c r="I47" s="2"/>
      <c r="J47" s="3">
        <v>151.31</v>
      </c>
      <c r="K47" s="3"/>
      <c r="L47" s="3"/>
      <c r="M47" s="3">
        <v>154.02000000000001</v>
      </c>
      <c r="N47" s="3"/>
      <c r="O47" s="3"/>
      <c r="P47" s="3">
        <v>120.14</v>
      </c>
      <c r="Q47" s="3"/>
      <c r="R47" s="3"/>
      <c r="S47" s="4">
        <v>100.16</v>
      </c>
      <c r="T47" s="4"/>
      <c r="U47" s="4"/>
    </row>
    <row r="48" spans="1:21" x14ac:dyDescent="0.25">
      <c r="A48" s="2">
        <v>121.45</v>
      </c>
      <c r="B48" s="2"/>
      <c r="C48" s="2"/>
      <c r="D48" s="2">
        <v>110.76</v>
      </c>
      <c r="E48" s="2"/>
      <c r="F48" s="2"/>
      <c r="G48" s="2">
        <v>105.15</v>
      </c>
      <c r="H48" s="2"/>
      <c r="I48" s="2"/>
      <c r="J48" s="3">
        <v>149.82</v>
      </c>
      <c r="K48" s="3"/>
      <c r="L48" s="3"/>
      <c r="M48" s="3">
        <v>145.38999999999999</v>
      </c>
      <c r="N48" s="3"/>
      <c r="O48" s="3"/>
      <c r="P48" s="3">
        <v>130.93</v>
      </c>
      <c r="Q48" s="3"/>
      <c r="R48" s="3"/>
      <c r="S48" s="4">
        <v>102.22</v>
      </c>
      <c r="T48" s="4"/>
      <c r="U48" s="4"/>
    </row>
    <row r="49" spans="1:21" x14ac:dyDescent="0.25">
      <c r="A49" s="2">
        <v>126.67</v>
      </c>
      <c r="B49" s="2"/>
      <c r="C49" s="2"/>
      <c r="D49" s="2">
        <v>110.76</v>
      </c>
      <c r="E49" s="2"/>
      <c r="F49" s="2"/>
      <c r="G49" s="2">
        <v>105.15</v>
      </c>
      <c r="H49" s="2"/>
      <c r="I49" s="2"/>
      <c r="J49" s="3">
        <v>149.82</v>
      </c>
      <c r="K49" s="3"/>
      <c r="L49" s="3"/>
      <c r="M49" s="3">
        <v>145.38999999999999</v>
      </c>
      <c r="N49" s="3"/>
      <c r="O49" s="3"/>
      <c r="P49" s="3">
        <v>130.93</v>
      </c>
      <c r="Q49" s="3"/>
      <c r="R49" s="3"/>
      <c r="S49" s="4">
        <v>102.22</v>
      </c>
      <c r="T49" s="4"/>
      <c r="U49" s="4"/>
    </row>
    <row r="50" spans="1:21" x14ac:dyDescent="0.25">
      <c r="A50" s="2">
        <v>126.67</v>
      </c>
      <c r="B50" s="2"/>
      <c r="C50" s="2"/>
      <c r="D50" s="2">
        <v>121.99</v>
      </c>
      <c r="E50" s="2"/>
      <c r="F50" s="2"/>
      <c r="G50" s="2">
        <v>103.59</v>
      </c>
      <c r="H50" s="2"/>
      <c r="I50" s="2"/>
      <c r="J50" s="3">
        <v>149.34</v>
      </c>
      <c r="K50" s="3"/>
      <c r="L50" s="3"/>
      <c r="M50" s="3">
        <v>145.13</v>
      </c>
      <c r="N50" s="3"/>
      <c r="O50" s="3"/>
      <c r="P50" s="3">
        <v>119.43</v>
      </c>
      <c r="Q50" s="3"/>
      <c r="R50" s="3"/>
      <c r="S50" s="4">
        <v>98.641999999999996</v>
      </c>
      <c r="T50" s="4"/>
      <c r="U50" s="4"/>
    </row>
    <row r="51" spans="1:21" x14ac:dyDescent="0.25">
      <c r="A51" s="2">
        <v>124.61</v>
      </c>
      <c r="B51" s="2"/>
      <c r="C51" s="2"/>
      <c r="D51" s="2">
        <v>121.99</v>
      </c>
      <c r="E51" s="2"/>
      <c r="F51" s="2"/>
      <c r="G51" s="2">
        <v>103.59</v>
      </c>
      <c r="H51" s="2"/>
      <c r="I51" s="2"/>
      <c r="J51" s="3">
        <v>149.34</v>
      </c>
      <c r="K51" s="3"/>
      <c r="L51" s="3"/>
      <c r="M51" s="3">
        <v>145.13</v>
      </c>
      <c r="N51" s="3"/>
      <c r="O51" s="3"/>
      <c r="P51" s="3">
        <v>119.43</v>
      </c>
      <c r="Q51" s="3"/>
      <c r="R51" s="3"/>
      <c r="S51" s="4">
        <v>98.641999999999996</v>
      </c>
      <c r="T51" s="4"/>
      <c r="U51" s="4"/>
    </row>
    <row r="52" spans="1:21" x14ac:dyDescent="0.25">
      <c r="A52" s="2">
        <v>124.61</v>
      </c>
      <c r="B52" s="2"/>
      <c r="C52" s="2"/>
      <c r="D52" s="2">
        <v>109.68</v>
      </c>
      <c r="E52" s="2"/>
      <c r="F52" s="2"/>
      <c r="G52" s="2">
        <v>104.58</v>
      </c>
      <c r="H52" s="2"/>
      <c r="I52" s="2"/>
      <c r="J52" s="3">
        <v>184.87</v>
      </c>
      <c r="K52" s="3"/>
      <c r="L52" s="3"/>
      <c r="M52" s="3">
        <v>142.62</v>
      </c>
      <c r="N52" s="3"/>
      <c r="O52" s="3"/>
      <c r="P52" s="3">
        <v>137.55000000000001</v>
      </c>
      <c r="Q52" s="3"/>
      <c r="R52" s="3"/>
      <c r="S52" s="4">
        <v>95.965000000000003</v>
      </c>
      <c r="T52" s="4"/>
      <c r="U52" s="4"/>
    </row>
    <row r="53" spans="1:21" x14ac:dyDescent="0.25">
      <c r="A53" s="2">
        <v>126.95</v>
      </c>
      <c r="B53" s="2"/>
      <c r="C53" s="2"/>
      <c r="D53" s="2">
        <v>109.68</v>
      </c>
      <c r="E53" s="2"/>
      <c r="F53" s="2"/>
      <c r="G53" s="2">
        <v>104.58</v>
      </c>
      <c r="H53" s="2"/>
      <c r="I53" s="2"/>
      <c r="J53" s="3">
        <v>184.87</v>
      </c>
      <c r="K53" s="3"/>
      <c r="L53" s="3"/>
      <c r="M53" s="3">
        <v>142.62</v>
      </c>
      <c r="N53" s="3"/>
      <c r="O53" s="3"/>
      <c r="P53" s="3">
        <v>137.55000000000001</v>
      </c>
      <c r="Q53" s="3"/>
      <c r="R53" s="3"/>
      <c r="S53" s="4">
        <v>95.965000000000003</v>
      </c>
      <c r="T53" s="4"/>
      <c r="U53" s="4"/>
    </row>
    <row r="54" spans="1:21" x14ac:dyDescent="0.25">
      <c r="A54" s="2">
        <v>126.95</v>
      </c>
      <c r="B54" s="2"/>
      <c r="C54" s="2"/>
      <c r="D54" s="2">
        <v>116.33</v>
      </c>
      <c r="E54" s="2"/>
      <c r="F54" s="2"/>
      <c r="G54" s="2">
        <v>112.5</v>
      </c>
      <c r="H54" s="2"/>
      <c r="I54" s="2"/>
      <c r="J54" s="3">
        <v>197.31</v>
      </c>
      <c r="K54" s="3"/>
      <c r="L54" s="3"/>
      <c r="M54" s="3">
        <v>146.54</v>
      </c>
      <c r="N54" s="3"/>
      <c r="O54" s="3"/>
      <c r="P54" s="3">
        <v>118.48</v>
      </c>
      <c r="Q54" s="3"/>
      <c r="R54" s="3"/>
      <c r="S54" s="4">
        <v>101.64</v>
      </c>
      <c r="T54" s="4"/>
      <c r="U54" s="4"/>
    </row>
    <row r="55" spans="1:21" x14ac:dyDescent="0.25">
      <c r="A55" s="2">
        <v>128.13</v>
      </c>
      <c r="B55" s="2"/>
      <c r="C55" s="2"/>
      <c r="D55" s="2">
        <v>116.33</v>
      </c>
      <c r="E55" s="2"/>
      <c r="F55" s="2"/>
      <c r="G55" s="2">
        <v>112.5</v>
      </c>
      <c r="H55" s="2"/>
      <c r="I55" s="2"/>
      <c r="J55" s="3">
        <v>197.31</v>
      </c>
      <c r="K55" s="3"/>
      <c r="L55" s="3"/>
      <c r="M55" s="3">
        <v>146.54</v>
      </c>
      <c r="N55" s="3"/>
      <c r="O55" s="3"/>
      <c r="P55" s="3">
        <v>118.48</v>
      </c>
      <c r="Q55" s="3"/>
      <c r="R55" s="3"/>
      <c r="S55" s="4">
        <v>101.64</v>
      </c>
      <c r="T55" s="4"/>
      <c r="U55" s="4"/>
    </row>
    <row r="56" spans="1:21" x14ac:dyDescent="0.25">
      <c r="A56" s="2">
        <v>128.13</v>
      </c>
      <c r="B56" s="2"/>
      <c r="C56" s="2"/>
      <c r="D56" s="2">
        <v>103.2</v>
      </c>
      <c r="E56" s="2"/>
      <c r="F56" s="2"/>
      <c r="G56" s="2">
        <v>106</v>
      </c>
      <c r="H56" s="2"/>
      <c r="I56" s="2"/>
      <c r="J56" s="3">
        <v>150.06</v>
      </c>
      <c r="K56" s="3"/>
      <c r="L56" s="3"/>
      <c r="M56" s="3">
        <v>166.28</v>
      </c>
      <c r="N56" s="3"/>
      <c r="O56" s="3"/>
      <c r="P56" s="3">
        <v>117</v>
      </c>
      <c r="Q56" s="3"/>
      <c r="R56" s="3"/>
      <c r="S56" s="4">
        <v>105.09</v>
      </c>
      <c r="T56" s="4"/>
      <c r="U56" s="4"/>
    </row>
    <row r="57" spans="1:21" x14ac:dyDescent="0.25">
      <c r="A57" s="2">
        <v>127.02</v>
      </c>
      <c r="B57" s="2"/>
      <c r="C57" s="2"/>
      <c r="D57" s="2">
        <v>103.2</v>
      </c>
      <c r="E57" s="2"/>
      <c r="F57" s="2"/>
      <c r="G57" s="2">
        <v>106</v>
      </c>
      <c r="H57" s="2"/>
      <c r="I57" s="2"/>
      <c r="J57" s="3">
        <v>150.06</v>
      </c>
      <c r="K57" s="3"/>
      <c r="L57" s="3"/>
      <c r="M57" s="3">
        <v>166.28</v>
      </c>
      <c r="N57" s="3"/>
      <c r="O57" s="3"/>
      <c r="P57" s="3">
        <v>117</v>
      </c>
      <c r="Q57" s="3"/>
      <c r="R57" s="3"/>
      <c r="S57" s="4">
        <v>105.09</v>
      </c>
      <c r="T57" s="4"/>
      <c r="U57" s="4"/>
    </row>
    <row r="58" spans="1:21" x14ac:dyDescent="0.25">
      <c r="A58" s="2">
        <v>127.02</v>
      </c>
      <c r="B58" s="2"/>
      <c r="C58" s="2"/>
      <c r="D58" s="2">
        <v>107.99</v>
      </c>
      <c r="E58" s="2"/>
      <c r="F58" s="2"/>
      <c r="G58" s="2">
        <v>107.08</v>
      </c>
      <c r="H58" s="2"/>
      <c r="I58" s="2"/>
      <c r="J58" s="3">
        <v>149.66</v>
      </c>
      <c r="K58" s="3"/>
      <c r="L58" s="3"/>
      <c r="M58" s="3">
        <v>146.56</v>
      </c>
      <c r="N58" s="3"/>
      <c r="O58" s="3"/>
      <c r="P58" s="3">
        <v>134.02000000000001</v>
      </c>
      <c r="Q58" s="3"/>
      <c r="R58" s="3"/>
      <c r="S58" s="4">
        <v>114.63</v>
      </c>
      <c r="T58" s="4"/>
      <c r="U58" s="4"/>
    </row>
    <row r="59" spans="1:21" x14ac:dyDescent="0.25">
      <c r="A59" s="2">
        <v>127.94</v>
      </c>
      <c r="B59" s="2"/>
      <c r="C59" s="2"/>
      <c r="D59" s="2">
        <v>107.99</v>
      </c>
      <c r="E59" s="2"/>
      <c r="F59" s="2"/>
      <c r="G59" s="2">
        <v>107.08</v>
      </c>
      <c r="H59" s="2"/>
      <c r="I59" s="2"/>
      <c r="J59" s="3">
        <v>149.66</v>
      </c>
      <c r="K59" s="3"/>
      <c r="L59" s="3"/>
      <c r="M59" s="3">
        <v>146.56</v>
      </c>
      <c r="N59" s="3"/>
      <c r="O59" s="3"/>
      <c r="P59" s="3">
        <v>134.02000000000001</v>
      </c>
      <c r="Q59" s="3"/>
      <c r="R59" s="3"/>
      <c r="S59" s="4">
        <v>114.63</v>
      </c>
      <c r="T59" s="4"/>
      <c r="U59" s="4"/>
    </row>
    <row r="60" spans="1:21" x14ac:dyDescent="0.25">
      <c r="A60" s="2">
        <v>127.94</v>
      </c>
      <c r="B60" s="2"/>
      <c r="C60" s="2"/>
      <c r="D60" s="2">
        <v>131.25</v>
      </c>
      <c r="E60" s="2"/>
      <c r="F60" s="2"/>
      <c r="G60" s="2">
        <v>105.55</v>
      </c>
      <c r="H60" s="2"/>
      <c r="I60" s="2"/>
      <c r="J60" s="3">
        <v>154.56</v>
      </c>
      <c r="K60" s="3"/>
      <c r="L60" s="3"/>
      <c r="M60" s="3">
        <v>144.16999999999999</v>
      </c>
      <c r="N60" s="3"/>
      <c r="O60" s="3"/>
      <c r="P60" s="3">
        <v>120.18</v>
      </c>
      <c r="Q60" s="3"/>
      <c r="R60" s="3"/>
      <c r="S60" s="4">
        <v>107.21</v>
      </c>
      <c r="T60" s="4"/>
      <c r="U60" s="4"/>
    </row>
    <row r="61" spans="1:21" x14ac:dyDescent="0.25">
      <c r="A61" s="2">
        <v>119.44</v>
      </c>
      <c r="B61" s="2"/>
      <c r="C61" s="2"/>
      <c r="D61" s="2">
        <v>131.25</v>
      </c>
      <c r="E61" s="2"/>
      <c r="F61" s="2"/>
      <c r="G61" s="2">
        <v>105.55</v>
      </c>
      <c r="H61" s="2"/>
      <c r="I61" s="2"/>
      <c r="J61" s="3">
        <v>154.56</v>
      </c>
      <c r="K61" s="3"/>
      <c r="L61" s="3"/>
      <c r="M61" s="3">
        <v>144.16999999999999</v>
      </c>
      <c r="N61" s="3"/>
      <c r="O61" s="3"/>
      <c r="P61" s="3">
        <v>120.18</v>
      </c>
      <c r="Q61" s="3"/>
      <c r="R61" s="3"/>
      <c r="S61" s="4">
        <v>107.21</v>
      </c>
      <c r="T61" s="4"/>
      <c r="U61" s="4"/>
    </row>
    <row r="62" spans="1:21" x14ac:dyDescent="0.25">
      <c r="A62" s="2">
        <v>119.44</v>
      </c>
      <c r="B62" s="2"/>
      <c r="C62" s="2"/>
      <c r="D62" s="2">
        <v>104.03</v>
      </c>
      <c r="E62" s="2"/>
      <c r="F62" s="2"/>
      <c r="G62" s="2">
        <v>103.79</v>
      </c>
      <c r="H62" s="2"/>
      <c r="I62" s="2"/>
      <c r="J62" s="3">
        <v>149.22</v>
      </c>
      <c r="K62" s="3"/>
      <c r="L62" s="3"/>
      <c r="M62" s="3">
        <v>154.72999999999999</v>
      </c>
      <c r="N62" s="3"/>
      <c r="O62" s="3"/>
      <c r="P62" s="3">
        <v>139.22999999999999</v>
      </c>
      <c r="Q62" s="3"/>
      <c r="R62" s="3"/>
      <c r="S62" s="4">
        <v>97.063000000000002</v>
      </c>
      <c r="T62" s="4"/>
      <c r="U62" s="4"/>
    </row>
    <row r="63" spans="1:21" x14ac:dyDescent="0.25">
      <c r="A63" s="2">
        <v>122.63</v>
      </c>
      <c r="B63" s="2"/>
      <c r="C63" s="2"/>
      <c r="D63" s="2">
        <v>104.03</v>
      </c>
      <c r="E63" s="2"/>
      <c r="F63" s="2"/>
      <c r="G63" s="2">
        <v>103.79</v>
      </c>
      <c r="H63" s="2"/>
      <c r="I63" s="2"/>
      <c r="J63" s="3">
        <v>149.22</v>
      </c>
      <c r="K63" s="3"/>
      <c r="L63" s="3"/>
      <c r="M63" s="3">
        <v>154.72999999999999</v>
      </c>
      <c r="N63" s="3"/>
      <c r="O63" s="3"/>
      <c r="P63" s="3">
        <v>139.22999999999999</v>
      </c>
      <c r="Q63" s="3"/>
      <c r="R63" s="3"/>
      <c r="S63" s="4">
        <v>97.063000000000002</v>
      </c>
      <c r="T63" s="4"/>
      <c r="U63" s="4"/>
    </row>
    <row r="64" spans="1:21" x14ac:dyDescent="0.25">
      <c r="A64" s="2">
        <v>122.63</v>
      </c>
      <c r="B64" s="2"/>
      <c r="C64" s="2"/>
      <c r="D64" s="2">
        <v>120.99</v>
      </c>
      <c r="E64" s="2"/>
      <c r="F64" s="2"/>
      <c r="G64" s="2">
        <v>103.07</v>
      </c>
      <c r="H64" s="2"/>
      <c r="I64" s="2"/>
      <c r="J64" s="3">
        <v>152.36000000000001</v>
      </c>
      <c r="K64" s="3"/>
      <c r="L64" s="3"/>
      <c r="M64" s="3">
        <v>152.4</v>
      </c>
      <c r="N64" s="3"/>
      <c r="O64" s="3"/>
      <c r="P64" s="3">
        <v>120.04</v>
      </c>
      <c r="Q64" s="3"/>
      <c r="R64" s="3"/>
      <c r="S64" s="4">
        <v>98.667000000000002</v>
      </c>
      <c r="T64" s="4"/>
      <c r="U64" s="4"/>
    </row>
    <row r="65" spans="1:21" x14ac:dyDescent="0.25">
      <c r="A65" s="2">
        <v>127.49</v>
      </c>
      <c r="B65" s="2"/>
      <c r="C65" s="2"/>
      <c r="D65" s="2">
        <v>120.99</v>
      </c>
      <c r="E65" s="2"/>
      <c r="F65" s="2"/>
      <c r="G65" s="2">
        <v>103.07</v>
      </c>
      <c r="H65" s="2"/>
      <c r="I65" s="2"/>
      <c r="J65" s="3">
        <v>152.36000000000001</v>
      </c>
      <c r="K65" s="3"/>
      <c r="L65" s="3"/>
      <c r="M65" s="3">
        <v>152.4</v>
      </c>
      <c r="N65" s="3"/>
      <c r="O65" s="3"/>
      <c r="P65" s="3">
        <v>120.04</v>
      </c>
      <c r="Q65" s="3"/>
      <c r="R65" s="3"/>
      <c r="S65" s="4">
        <v>98.667000000000002</v>
      </c>
      <c r="T65" s="4"/>
      <c r="U65" s="4"/>
    </row>
    <row r="66" spans="1:21" x14ac:dyDescent="0.25">
      <c r="A66" s="2">
        <v>127.49</v>
      </c>
      <c r="B66" s="2"/>
      <c r="C66" s="2"/>
      <c r="D66" s="2">
        <v>109.86</v>
      </c>
      <c r="E66" s="2"/>
      <c r="F66" s="2"/>
      <c r="G66" s="2">
        <v>122.82</v>
      </c>
      <c r="H66" s="2"/>
      <c r="I66" s="2"/>
      <c r="J66" s="3">
        <v>153.52000000000001</v>
      </c>
      <c r="K66" s="3"/>
      <c r="L66" s="3"/>
      <c r="M66" s="3">
        <v>163.52000000000001</v>
      </c>
      <c r="N66" s="3"/>
      <c r="O66" s="3"/>
      <c r="P66" s="3">
        <v>119.18</v>
      </c>
      <c r="Q66" s="3"/>
      <c r="R66" s="3"/>
      <c r="S66" s="4">
        <v>104.39</v>
      </c>
      <c r="T66" s="4"/>
      <c r="U66" s="4"/>
    </row>
    <row r="67" spans="1:21" x14ac:dyDescent="0.25">
      <c r="A67" s="2">
        <v>126.25</v>
      </c>
      <c r="B67" s="2"/>
      <c r="C67" s="2"/>
      <c r="D67" s="2">
        <v>109.86</v>
      </c>
      <c r="E67" s="2"/>
      <c r="F67" s="2"/>
      <c r="G67" s="2">
        <v>122.82</v>
      </c>
      <c r="H67" s="2"/>
      <c r="I67" s="2"/>
      <c r="J67" s="3">
        <v>153.52000000000001</v>
      </c>
      <c r="K67" s="3"/>
      <c r="L67" s="3"/>
      <c r="M67" s="3">
        <v>163.52000000000001</v>
      </c>
      <c r="N67" s="3"/>
      <c r="O67" s="3"/>
      <c r="P67" s="3">
        <v>119.18</v>
      </c>
      <c r="Q67" s="3"/>
      <c r="R67" s="3"/>
      <c r="S67" s="4">
        <v>104.39</v>
      </c>
      <c r="T67" s="4"/>
      <c r="U67" s="4"/>
    </row>
    <row r="68" spans="1:21" x14ac:dyDescent="0.25">
      <c r="A68" s="2">
        <v>126.25</v>
      </c>
      <c r="B68" s="2"/>
      <c r="C68" s="2"/>
      <c r="D68" s="2">
        <v>109.7</v>
      </c>
      <c r="E68" s="2"/>
      <c r="F68" s="2"/>
      <c r="G68" s="2">
        <v>104.35</v>
      </c>
      <c r="H68" s="2"/>
      <c r="I68" s="2"/>
      <c r="J68" s="3">
        <v>148.63999999999999</v>
      </c>
      <c r="K68" s="3"/>
      <c r="L68" s="3"/>
      <c r="M68" s="3">
        <v>149.49</v>
      </c>
      <c r="N68" s="3"/>
      <c r="O68" s="3"/>
      <c r="P68" s="3">
        <v>126.03</v>
      </c>
      <c r="Q68" s="3"/>
      <c r="R68" s="3"/>
      <c r="S68" s="4">
        <v>99.745999999999995</v>
      </c>
      <c r="T68" s="4"/>
      <c r="U68" s="4"/>
    </row>
    <row r="69" spans="1:21" x14ac:dyDescent="0.25">
      <c r="A69" s="2">
        <v>127.75</v>
      </c>
      <c r="B69" s="2"/>
      <c r="C69" s="2"/>
      <c r="D69" s="2">
        <v>109.7</v>
      </c>
      <c r="E69" s="2"/>
      <c r="F69" s="2"/>
      <c r="G69" s="2">
        <v>104.35</v>
      </c>
      <c r="H69" s="2"/>
      <c r="I69" s="2"/>
      <c r="J69" s="3">
        <v>148.63999999999999</v>
      </c>
      <c r="K69" s="3"/>
      <c r="L69" s="3"/>
      <c r="M69" s="3">
        <v>149.49</v>
      </c>
      <c r="N69" s="3"/>
      <c r="O69" s="3"/>
      <c r="P69" s="3">
        <v>126.03</v>
      </c>
      <c r="Q69" s="3"/>
      <c r="R69" s="3"/>
      <c r="S69" s="4">
        <v>99.745999999999995</v>
      </c>
      <c r="T69" s="4"/>
      <c r="U69" s="4"/>
    </row>
    <row r="70" spans="1:21" x14ac:dyDescent="0.25">
      <c r="A70" s="2">
        <v>127.75</v>
      </c>
      <c r="B70" s="2"/>
      <c r="C70" s="2"/>
      <c r="D70" s="2">
        <v>141.18</v>
      </c>
      <c r="E70" s="2"/>
      <c r="F70" s="2"/>
      <c r="G70" s="2">
        <v>103.89</v>
      </c>
      <c r="H70" s="2"/>
      <c r="I70" s="2"/>
      <c r="J70" s="3">
        <v>148.06</v>
      </c>
      <c r="K70" s="3"/>
      <c r="L70" s="3"/>
      <c r="M70" s="3">
        <v>146.83000000000001</v>
      </c>
      <c r="N70" s="3"/>
      <c r="O70" s="3"/>
      <c r="P70" s="3">
        <v>121.03</v>
      </c>
      <c r="Q70" s="3"/>
      <c r="R70" s="3"/>
      <c r="S70" s="4">
        <v>101.06</v>
      </c>
      <c r="T70" s="4"/>
      <c r="U70" s="4"/>
    </row>
    <row r="71" spans="1:21" x14ac:dyDescent="0.25">
      <c r="A71" s="2">
        <v>131.13999999999999</v>
      </c>
      <c r="B71" s="2"/>
      <c r="C71" s="2"/>
      <c r="D71" s="2">
        <v>141.18</v>
      </c>
      <c r="E71" s="2"/>
      <c r="F71" s="2"/>
      <c r="G71" s="2">
        <v>103.89</v>
      </c>
      <c r="H71" s="2"/>
      <c r="I71" s="2"/>
      <c r="J71" s="3">
        <v>148.06</v>
      </c>
      <c r="K71" s="3"/>
      <c r="L71" s="3"/>
      <c r="M71" s="3">
        <v>146.83000000000001</v>
      </c>
      <c r="N71" s="3"/>
      <c r="O71" s="3"/>
      <c r="P71" s="3">
        <v>121.03</v>
      </c>
      <c r="Q71" s="3"/>
      <c r="R71" s="3"/>
      <c r="S71" s="4">
        <v>101.06</v>
      </c>
      <c r="T71" s="4"/>
      <c r="U71" s="4"/>
    </row>
    <row r="72" spans="1:21" x14ac:dyDescent="0.25">
      <c r="A72" s="2">
        <v>131.13999999999999</v>
      </c>
      <c r="B72" s="2"/>
      <c r="C72" s="2"/>
      <c r="D72" s="2">
        <v>111.6</v>
      </c>
      <c r="E72" s="2"/>
      <c r="F72" s="2"/>
      <c r="G72" s="2">
        <v>113.52</v>
      </c>
      <c r="H72" s="2"/>
      <c r="I72" s="2"/>
      <c r="J72" s="3">
        <v>157.83000000000001</v>
      </c>
      <c r="K72" s="3"/>
      <c r="L72" s="3"/>
      <c r="M72" s="3">
        <v>149.32</v>
      </c>
      <c r="N72" s="3"/>
      <c r="O72" s="3"/>
      <c r="P72" s="3">
        <v>140.41999999999999</v>
      </c>
      <c r="Q72" s="3"/>
      <c r="R72" s="3"/>
      <c r="S72" s="4">
        <v>99.106999999999999</v>
      </c>
      <c r="T72" s="4"/>
      <c r="U72" s="4"/>
    </row>
    <row r="73" spans="1:21" x14ac:dyDescent="0.25">
      <c r="A73" s="2">
        <v>133.65</v>
      </c>
      <c r="B73" s="2"/>
      <c r="C73" s="2"/>
      <c r="D73" s="2">
        <v>111.6</v>
      </c>
      <c r="E73" s="2"/>
      <c r="F73" s="2"/>
      <c r="G73" s="2">
        <v>113.52</v>
      </c>
      <c r="H73" s="2"/>
      <c r="I73" s="2"/>
      <c r="J73" s="3">
        <v>157.83000000000001</v>
      </c>
      <c r="K73" s="3"/>
      <c r="L73" s="3"/>
      <c r="M73" s="3">
        <v>149.32</v>
      </c>
      <c r="N73" s="3"/>
      <c r="O73" s="3"/>
      <c r="P73" s="3">
        <v>140.41999999999999</v>
      </c>
      <c r="Q73" s="3"/>
      <c r="R73" s="3"/>
      <c r="S73" s="4">
        <v>99.106999999999999</v>
      </c>
      <c r="T73" s="4"/>
      <c r="U73" s="4"/>
    </row>
    <row r="74" spans="1:21" x14ac:dyDescent="0.25">
      <c r="A74" s="2">
        <v>133.65</v>
      </c>
      <c r="B74" s="2"/>
      <c r="C74" s="2"/>
      <c r="D74" s="2">
        <v>106.07</v>
      </c>
      <c r="E74" s="2"/>
      <c r="F74" s="2"/>
      <c r="G74" s="2">
        <v>102.55</v>
      </c>
      <c r="H74" s="2"/>
      <c r="I74" s="2"/>
      <c r="J74" s="3">
        <v>150.91999999999999</v>
      </c>
      <c r="K74" s="3"/>
      <c r="L74" s="3"/>
      <c r="M74" s="3">
        <v>150.66</v>
      </c>
      <c r="N74" s="3"/>
      <c r="O74" s="3"/>
      <c r="P74" s="3">
        <v>118.41</v>
      </c>
      <c r="Q74" s="3"/>
      <c r="R74" s="3"/>
      <c r="S74" s="4">
        <v>101.82</v>
      </c>
      <c r="T74" s="4"/>
      <c r="U74" s="4"/>
    </row>
    <row r="75" spans="1:21" x14ac:dyDescent="0.25">
      <c r="A75" s="2">
        <v>126.69</v>
      </c>
      <c r="B75" s="2"/>
      <c r="C75" s="2"/>
      <c r="D75" s="2">
        <v>106.07</v>
      </c>
      <c r="E75" s="2"/>
      <c r="F75" s="2"/>
      <c r="G75" s="2">
        <v>102.55</v>
      </c>
      <c r="H75" s="2"/>
      <c r="I75" s="2"/>
      <c r="J75" s="3">
        <v>150.91999999999999</v>
      </c>
      <c r="K75" s="3"/>
      <c r="L75" s="3"/>
      <c r="M75" s="3">
        <v>150.66</v>
      </c>
      <c r="N75" s="3"/>
      <c r="O75" s="3"/>
      <c r="P75" s="3">
        <v>118.41</v>
      </c>
      <c r="Q75" s="3"/>
      <c r="R75" s="3"/>
      <c r="S75" s="4">
        <v>101.82</v>
      </c>
      <c r="T75" s="4"/>
      <c r="U75" s="4"/>
    </row>
    <row r="76" spans="1:21" x14ac:dyDescent="0.25">
      <c r="A76" s="2">
        <v>126.69</v>
      </c>
      <c r="B76" s="2"/>
      <c r="C76" s="2"/>
      <c r="D76" s="2">
        <v>105.13</v>
      </c>
      <c r="E76" s="2"/>
      <c r="F76" s="2"/>
      <c r="G76" s="2">
        <v>112.81</v>
      </c>
      <c r="H76" s="2"/>
      <c r="I76" s="2"/>
      <c r="J76" s="3">
        <v>148.13</v>
      </c>
      <c r="K76" s="3"/>
      <c r="L76" s="3"/>
      <c r="M76" s="3">
        <v>168.88</v>
      </c>
      <c r="N76" s="3"/>
      <c r="O76" s="3"/>
      <c r="P76" s="3">
        <v>126.71</v>
      </c>
      <c r="Q76" s="3"/>
      <c r="R76" s="3"/>
      <c r="S76" s="4">
        <v>111.45</v>
      </c>
      <c r="T76" s="4"/>
      <c r="U76" s="4"/>
    </row>
    <row r="77" spans="1:21" x14ac:dyDescent="0.25">
      <c r="A77" s="2">
        <v>124.08</v>
      </c>
      <c r="B77" s="2"/>
      <c r="C77" s="2"/>
      <c r="D77" s="2">
        <v>105.13</v>
      </c>
      <c r="E77" s="2"/>
      <c r="F77" s="2"/>
      <c r="G77" s="2">
        <v>112.81</v>
      </c>
      <c r="H77" s="2"/>
      <c r="I77" s="2"/>
      <c r="J77" s="3">
        <v>148.13</v>
      </c>
      <c r="K77" s="3"/>
      <c r="L77" s="3"/>
      <c r="M77" s="3">
        <v>168.88</v>
      </c>
      <c r="N77" s="3"/>
      <c r="O77" s="3"/>
      <c r="P77" s="3">
        <v>126.71</v>
      </c>
      <c r="Q77" s="3"/>
      <c r="R77" s="3"/>
      <c r="S77" s="4">
        <v>111.45</v>
      </c>
      <c r="T77" s="4"/>
      <c r="U77" s="4"/>
    </row>
    <row r="78" spans="1:21" x14ac:dyDescent="0.25">
      <c r="A78" s="2">
        <v>124.08</v>
      </c>
      <c r="B78" s="2"/>
      <c r="C78" s="2"/>
      <c r="D78" s="2">
        <v>106.37</v>
      </c>
      <c r="E78" s="2"/>
      <c r="F78" s="2"/>
      <c r="G78" s="2">
        <v>107.51</v>
      </c>
      <c r="H78" s="2"/>
      <c r="I78" s="2"/>
      <c r="J78" s="3">
        <v>151.99</v>
      </c>
      <c r="K78" s="3"/>
      <c r="L78" s="3"/>
      <c r="M78" s="3">
        <v>147.33000000000001</v>
      </c>
      <c r="N78" s="3"/>
      <c r="O78" s="3"/>
      <c r="P78" s="3">
        <v>128.97</v>
      </c>
      <c r="Q78" s="3"/>
      <c r="R78" s="3"/>
      <c r="S78" s="4">
        <v>102.78</v>
      </c>
      <c r="T78" s="4"/>
      <c r="U78" s="4"/>
    </row>
    <row r="79" spans="1:21" x14ac:dyDescent="0.25">
      <c r="A79" s="2">
        <v>119.45</v>
      </c>
      <c r="B79" s="2"/>
      <c r="C79" s="2"/>
      <c r="D79" s="2">
        <v>106.37</v>
      </c>
      <c r="E79" s="2"/>
      <c r="F79" s="2"/>
      <c r="G79" s="2">
        <v>107.51</v>
      </c>
      <c r="H79" s="2"/>
      <c r="I79" s="2"/>
      <c r="J79" s="3">
        <v>151.99</v>
      </c>
      <c r="K79" s="3"/>
      <c r="L79" s="3"/>
      <c r="M79" s="3">
        <v>147.33000000000001</v>
      </c>
      <c r="N79" s="3"/>
      <c r="O79" s="3"/>
      <c r="P79" s="3">
        <v>128.97</v>
      </c>
      <c r="Q79" s="3"/>
      <c r="R79" s="3"/>
      <c r="S79" s="4">
        <v>102.78</v>
      </c>
      <c r="T79" s="4"/>
      <c r="U79" s="4"/>
    </row>
    <row r="80" spans="1:21" x14ac:dyDescent="0.25">
      <c r="A80" s="2">
        <v>119.45</v>
      </c>
      <c r="B80" s="2"/>
      <c r="C80" s="2"/>
      <c r="D80" s="2">
        <v>130.03</v>
      </c>
      <c r="E80" s="2"/>
      <c r="F80" s="2"/>
      <c r="G80" s="2">
        <v>104.67</v>
      </c>
      <c r="H80" s="2"/>
      <c r="I80" s="2"/>
      <c r="J80" s="3">
        <v>149.46</v>
      </c>
      <c r="K80" s="3"/>
      <c r="L80" s="3"/>
      <c r="M80" s="3">
        <v>146.33000000000001</v>
      </c>
      <c r="N80" s="3"/>
      <c r="O80" s="3"/>
      <c r="P80" s="3">
        <v>117.1</v>
      </c>
      <c r="Q80" s="3"/>
      <c r="R80" s="3"/>
      <c r="S80" s="4">
        <v>101.2</v>
      </c>
      <c r="T80" s="4"/>
      <c r="U80" s="4"/>
    </row>
    <row r="81" spans="1:21" x14ac:dyDescent="0.25">
      <c r="A81" s="2">
        <v>121.22</v>
      </c>
      <c r="B81" s="2"/>
      <c r="C81" s="2"/>
      <c r="D81" s="2">
        <v>130.03</v>
      </c>
      <c r="E81" s="2"/>
      <c r="F81" s="2"/>
      <c r="G81" s="2">
        <v>104.67</v>
      </c>
      <c r="H81" s="2"/>
      <c r="I81" s="2"/>
      <c r="J81" s="3">
        <v>149.46</v>
      </c>
      <c r="K81" s="3"/>
      <c r="L81" s="3"/>
      <c r="M81" s="3">
        <v>146.33000000000001</v>
      </c>
      <c r="N81" s="3"/>
      <c r="O81" s="3"/>
      <c r="P81" s="3">
        <v>117.1</v>
      </c>
      <c r="Q81" s="3"/>
      <c r="R81" s="3"/>
      <c r="S81" s="4">
        <v>101.2</v>
      </c>
      <c r="T81" s="4"/>
      <c r="U81" s="4"/>
    </row>
    <row r="82" spans="1:21" x14ac:dyDescent="0.25">
      <c r="A82" s="2">
        <v>121.22</v>
      </c>
      <c r="B82" s="2"/>
      <c r="C82" s="2"/>
      <c r="D82" s="2">
        <v>106.58</v>
      </c>
      <c r="E82" s="2"/>
      <c r="F82" s="2"/>
      <c r="G82" s="2">
        <v>103.57</v>
      </c>
      <c r="H82" s="2"/>
      <c r="I82" s="2"/>
      <c r="J82" s="3">
        <v>148.25</v>
      </c>
      <c r="K82" s="3"/>
      <c r="L82" s="3"/>
      <c r="M82" s="3">
        <v>147.30000000000001</v>
      </c>
      <c r="N82" s="3"/>
      <c r="O82" s="3"/>
      <c r="P82" s="3">
        <v>140.9</v>
      </c>
      <c r="Q82" s="3"/>
      <c r="R82" s="3"/>
      <c r="S82" s="4">
        <v>100.39</v>
      </c>
      <c r="T82" s="4"/>
      <c r="U82" s="4"/>
    </row>
    <row r="83" spans="1:21" x14ac:dyDescent="0.25">
      <c r="A83" s="2">
        <v>137.96</v>
      </c>
      <c r="B83" s="2"/>
      <c r="C83" s="2"/>
      <c r="D83" s="2">
        <v>106.58</v>
      </c>
      <c r="E83" s="2"/>
      <c r="F83" s="2"/>
      <c r="G83" s="2">
        <v>103.57</v>
      </c>
      <c r="H83" s="2"/>
      <c r="I83" s="2"/>
      <c r="J83" s="3">
        <v>148.25</v>
      </c>
      <c r="K83" s="3"/>
      <c r="L83" s="3"/>
      <c r="M83" s="3">
        <v>147.30000000000001</v>
      </c>
      <c r="N83" s="3"/>
      <c r="O83" s="3"/>
      <c r="P83" s="3">
        <v>140.9</v>
      </c>
      <c r="Q83" s="3"/>
      <c r="R83" s="3"/>
      <c r="S83" s="4">
        <v>100.39</v>
      </c>
      <c r="T83" s="4"/>
      <c r="U83" s="4"/>
    </row>
    <row r="84" spans="1:21" x14ac:dyDescent="0.25">
      <c r="A84" s="2">
        <v>137.96</v>
      </c>
      <c r="B84" s="2"/>
      <c r="C84" s="2"/>
      <c r="D84" s="2">
        <v>105.28</v>
      </c>
      <c r="E84" s="2"/>
      <c r="F84" s="2"/>
      <c r="G84" s="2">
        <v>113.52</v>
      </c>
      <c r="H84" s="2"/>
      <c r="I84" s="2"/>
      <c r="J84" s="3">
        <v>152.76</v>
      </c>
      <c r="K84" s="3"/>
      <c r="L84" s="3"/>
      <c r="M84" s="3">
        <v>144.91</v>
      </c>
      <c r="N84" s="3"/>
      <c r="O84" s="3"/>
      <c r="P84" s="3">
        <v>119.29</v>
      </c>
      <c r="Q84" s="3"/>
      <c r="R84" s="3"/>
      <c r="S84" s="4">
        <v>96.49</v>
      </c>
      <c r="T84" s="4"/>
      <c r="U84" s="4"/>
    </row>
    <row r="85" spans="1:21" x14ac:dyDescent="0.25">
      <c r="A85" s="2">
        <v>127.87</v>
      </c>
      <c r="B85" s="2"/>
      <c r="C85" s="2"/>
      <c r="D85" s="2">
        <v>105.28</v>
      </c>
      <c r="E85" s="2"/>
      <c r="F85" s="2"/>
      <c r="G85" s="2">
        <v>113.52</v>
      </c>
      <c r="H85" s="2"/>
      <c r="I85" s="2"/>
      <c r="J85" s="3">
        <v>152.76</v>
      </c>
      <c r="K85" s="3"/>
      <c r="L85" s="3"/>
      <c r="M85" s="3">
        <v>144.91</v>
      </c>
      <c r="N85" s="3"/>
      <c r="O85" s="3"/>
      <c r="P85" s="3">
        <v>119.29</v>
      </c>
      <c r="Q85" s="3"/>
      <c r="R85" s="3"/>
      <c r="S85" s="4">
        <v>96.49</v>
      </c>
      <c r="T85" s="4"/>
      <c r="U85" s="4"/>
    </row>
    <row r="86" spans="1:21" x14ac:dyDescent="0.25">
      <c r="A86" s="2">
        <v>127.87</v>
      </c>
      <c r="B86" s="2"/>
      <c r="C86" s="2"/>
      <c r="D86" s="2">
        <v>108.15</v>
      </c>
      <c r="E86" s="2"/>
      <c r="F86" s="2"/>
      <c r="G86" s="2">
        <v>104.1</v>
      </c>
      <c r="H86" s="2"/>
      <c r="I86" s="2"/>
      <c r="J86" s="3">
        <v>148.88</v>
      </c>
      <c r="K86" s="3"/>
      <c r="L86" s="3"/>
      <c r="M86" s="3">
        <v>165.44</v>
      </c>
      <c r="N86" s="3"/>
      <c r="O86" s="3"/>
      <c r="P86" s="3">
        <v>117.3</v>
      </c>
      <c r="Q86" s="3"/>
      <c r="R86" s="3"/>
      <c r="S86" s="4">
        <v>99.099000000000004</v>
      </c>
      <c r="T86" s="4"/>
      <c r="U86" s="4"/>
    </row>
    <row r="87" spans="1:21" x14ac:dyDescent="0.25">
      <c r="A87" s="2">
        <v>120.36</v>
      </c>
      <c r="B87" s="2"/>
      <c r="C87" s="2"/>
      <c r="D87" s="2">
        <v>108.15</v>
      </c>
      <c r="E87" s="2"/>
      <c r="F87" s="2"/>
      <c r="G87" s="2">
        <v>104.1</v>
      </c>
      <c r="H87" s="2"/>
      <c r="I87" s="2"/>
      <c r="J87" s="3">
        <v>148.88</v>
      </c>
      <c r="K87" s="3"/>
      <c r="L87" s="3"/>
      <c r="M87" s="3">
        <v>165.44</v>
      </c>
      <c r="N87" s="3"/>
      <c r="O87" s="3"/>
      <c r="P87" s="3">
        <v>117.3</v>
      </c>
      <c r="Q87" s="3"/>
      <c r="R87" s="3"/>
      <c r="S87" s="4">
        <v>99.099000000000004</v>
      </c>
      <c r="T87" s="4"/>
      <c r="U87" s="4"/>
    </row>
    <row r="88" spans="1:21" x14ac:dyDescent="0.25">
      <c r="A88" s="2">
        <v>120.36</v>
      </c>
      <c r="B88" s="2"/>
      <c r="C88" s="2"/>
      <c r="D88" s="2">
        <v>106.55</v>
      </c>
      <c r="E88" s="2"/>
      <c r="F88" s="2"/>
      <c r="G88" s="2">
        <v>102.89</v>
      </c>
      <c r="H88" s="2"/>
      <c r="I88" s="2"/>
      <c r="J88" s="3">
        <v>150.29</v>
      </c>
      <c r="K88" s="3"/>
      <c r="L88" s="3"/>
      <c r="M88" s="3">
        <v>147.41999999999999</v>
      </c>
      <c r="N88" s="3"/>
      <c r="O88" s="3"/>
      <c r="P88" s="3">
        <v>145.75</v>
      </c>
      <c r="Q88" s="3"/>
      <c r="R88" s="3"/>
      <c r="S88" s="4">
        <v>97.679000000000002</v>
      </c>
      <c r="T88" s="4"/>
      <c r="U88" s="4"/>
    </row>
    <row r="89" spans="1:21" x14ac:dyDescent="0.25">
      <c r="A89" s="2">
        <v>130.22999999999999</v>
      </c>
      <c r="B89" s="2"/>
      <c r="C89" s="2"/>
      <c r="D89" s="2">
        <v>106.55</v>
      </c>
      <c r="E89" s="2"/>
      <c r="F89" s="2"/>
      <c r="G89" s="2">
        <v>102.89</v>
      </c>
      <c r="H89" s="2"/>
      <c r="I89" s="2"/>
      <c r="J89" s="3">
        <v>150.29</v>
      </c>
      <c r="K89" s="3"/>
      <c r="L89" s="3"/>
      <c r="M89" s="3">
        <v>147.41999999999999</v>
      </c>
      <c r="N89" s="3"/>
      <c r="O89" s="3"/>
      <c r="P89" s="3">
        <v>145.75</v>
      </c>
      <c r="Q89" s="3"/>
      <c r="R89" s="3"/>
      <c r="S89" s="4">
        <v>97.679000000000002</v>
      </c>
      <c r="T89" s="4"/>
      <c r="U89" s="4"/>
    </row>
    <row r="90" spans="1:21" x14ac:dyDescent="0.25">
      <c r="A90" s="2">
        <v>130.22999999999999</v>
      </c>
      <c r="B90" s="2"/>
      <c r="C90" s="2"/>
      <c r="D90" s="2">
        <v>123.01</v>
      </c>
      <c r="E90" s="2"/>
      <c r="F90" s="2"/>
      <c r="G90" s="2">
        <v>111.6</v>
      </c>
      <c r="H90" s="2"/>
      <c r="I90" s="2"/>
      <c r="J90" s="3">
        <v>155.21</v>
      </c>
      <c r="K90" s="3"/>
      <c r="L90" s="3"/>
      <c r="M90" s="3">
        <v>146.19999999999999</v>
      </c>
      <c r="N90" s="3"/>
      <c r="O90" s="3"/>
      <c r="P90" s="3">
        <v>121.68</v>
      </c>
      <c r="Q90" s="3"/>
      <c r="R90" s="3"/>
      <c r="S90" s="4">
        <v>98.195999999999998</v>
      </c>
      <c r="T90" s="4"/>
      <c r="U90" s="4"/>
    </row>
    <row r="91" spans="1:21" x14ac:dyDescent="0.25">
      <c r="A91" s="2">
        <v>131.31</v>
      </c>
      <c r="B91" s="2"/>
      <c r="C91" s="2"/>
      <c r="D91" s="2">
        <v>123.01</v>
      </c>
      <c r="E91" s="2"/>
      <c r="F91" s="2"/>
      <c r="G91" s="2">
        <v>111.6</v>
      </c>
      <c r="H91" s="2"/>
      <c r="I91" s="2"/>
      <c r="J91" s="3">
        <v>155.21</v>
      </c>
      <c r="K91" s="3"/>
      <c r="L91" s="3"/>
      <c r="M91" s="3">
        <v>146.19999999999999</v>
      </c>
      <c r="N91" s="3"/>
      <c r="O91" s="3"/>
      <c r="P91" s="3">
        <v>130.69999999999999</v>
      </c>
      <c r="Q91" s="3"/>
      <c r="R91" s="3"/>
      <c r="S91" s="4">
        <v>98.195999999999998</v>
      </c>
      <c r="T91" s="4"/>
      <c r="U91" s="4"/>
    </row>
    <row r="92" spans="1:21" x14ac:dyDescent="0.25">
      <c r="A92" s="2">
        <v>131.31</v>
      </c>
      <c r="B92" s="2"/>
      <c r="C92" s="2"/>
      <c r="D92" s="2">
        <v>110.93</v>
      </c>
      <c r="E92" s="2"/>
      <c r="F92" s="2"/>
      <c r="G92" s="2">
        <v>104.06</v>
      </c>
      <c r="H92" s="2"/>
      <c r="I92" s="2"/>
      <c r="J92" s="3">
        <v>155.88</v>
      </c>
      <c r="K92" s="3"/>
      <c r="L92" s="3"/>
      <c r="M92" s="3">
        <v>148.41999999999999</v>
      </c>
      <c r="N92" s="3"/>
      <c r="O92" s="3"/>
      <c r="P92" s="3">
        <v>130.69999999999999</v>
      </c>
      <c r="Q92" s="3"/>
      <c r="R92" s="3"/>
      <c r="S92" s="4">
        <v>112.11</v>
      </c>
      <c r="T92" s="4"/>
      <c r="U92" s="4"/>
    </row>
    <row r="93" spans="1:21" x14ac:dyDescent="0.25">
      <c r="A93" s="2">
        <v>139.55000000000001</v>
      </c>
      <c r="B93" s="2"/>
      <c r="C93" s="2"/>
      <c r="D93" s="2">
        <v>110.93</v>
      </c>
      <c r="E93" s="2"/>
      <c r="F93" s="2"/>
      <c r="G93" s="2">
        <v>104.06</v>
      </c>
      <c r="H93" s="2"/>
      <c r="I93" s="2"/>
      <c r="J93" s="3">
        <v>155.88</v>
      </c>
      <c r="K93" s="3"/>
      <c r="L93" s="3"/>
      <c r="M93" s="3">
        <v>148.41999999999999</v>
      </c>
      <c r="N93" s="3"/>
      <c r="O93" s="3"/>
      <c r="P93" s="3">
        <v>124.88</v>
      </c>
      <c r="Q93" s="3"/>
      <c r="R93" s="3"/>
      <c r="S93" s="4">
        <v>112.11</v>
      </c>
      <c r="T93" s="4"/>
      <c r="U93" s="4"/>
    </row>
    <row r="94" spans="1:21" x14ac:dyDescent="0.25">
      <c r="A94" s="2">
        <v>139.55000000000001</v>
      </c>
      <c r="B94" s="2"/>
      <c r="C94" s="2"/>
      <c r="D94" s="2">
        <v>105.92</v>
      </c>
      <c r="E94" s="2"/>
      <c r="F94" s="2"/>
      <c r="G94" s="2">
        <v>103.35</v>
      </c>
      <c r="H94" s="2"/>
      <c r="I94" s="2"/>
      <c r="J94" s="3">
        <v>154</v>
      </c>
      <c r="K94" s="3"/>
      <c r="L94" s="3"/>
      <c r="M94" s="3">
        <v>150.43</v>
      </c>
      <c r="N94" s="3"/>
      <c r="O94" s="3"/>
      <c r="P94" s="3">
        <v>124.88</v>
      </c>
      <c r="Q94" s="3"/>
      <c r="R94" s="3"/>
      <c r="S94" s="4">
        <v>102.86</v>
      </c>
      <c r="T94" s="4"/>
      <c r="U94" s="4"/>
    </row>
    <row r="95" spans="1:21" x14ac:dyDescent="0.25">
      <c r="A95" s="2">
        <v>125.44</v>
      </c>
      <c r="B95" s="2"/>
      <c r="C95" s="2"/>
      <c r="D95" s="2">
        <v>105.92</v>
      </c>
      <c r="E95" s="2"/>
      <c r="F95" s="2"/>
      <c r="G95" s="2">
        <v>103.35</v>
      </c>
      <c r="H95" s="2"/>
      <c r="I95" s="2"/>
      <c r="J95" s="3">
        <v>154</v>
      </c>
      <c r="K95" s="3"/>
      <c r="L95" s="3"/>
      <c r="M95" s="3">
        <v>150.43</v>
      </c>
      <c r="N95" s="3"/>
      <c r="O95" s="3"/>
      <c r="P95" s="3">
        <v>125.59</v>
      </c>
      <c r="Q95" s="3"/>
      <c r="R95" s="3"/>
      <c r="S95" s="4">
        <v>102.86</v>
      </c>
      <c r="T95" s="4"/>
      <c r="U95" s="4"/>
    </row>
    <row r="96" spans="1:21" x14ac:dyDescent="0.25">
      <c r="A96" s="2">
        <v>125.44</v>
      </c>
      <c r="B96" s="2"/>
      <c r="C96" s="2"/>
      <c r="D96" s="2">
        <v>103.66</v>
      </c>
      <c r="E96" s="2"/>
      <c r="F96" s="2"/>
      <c r="G96" s="2">
        <v>109.2</v>
      </c>
      <c r="H96" s="2"/>
      <c r="I96" s="2"/>
      <c r="J96" s="3">
        <v>153.71</v>
      </c>
      <c r="K96" s="3"/>
      <c r="L96" s="3"/>
      <c r="M96" s="3">
        <v>155.85</v>
      </c>
      <c r="N96" s="3"/>
      <c r="O96" s="3"/>
      <c r="P96" s="3">
        <v>125.59</v>
      </c>
      <c r="Q96" s="3"/>
      <c r="R96" s="3"/>
      <c r="S96" s="4">
        <v>96.91</v>
      </c>
      <c r="T96" s="4"/>
      <c r="U96" s="4"/>
    </row>
    <row r="97" spans="1:21" x14ac:dyDescent="0.25">
      <c r="A97" s="2">
        <v>121.1</v>
      </c>
      <c r="B97" s="2"/>
      <c r="C97" s="2"/>
      <c r="D97" s="2">
        <v>103.66</v>
      </c>
      <c r="E97" s="2"/>
      <c r="F97" s="2"/>
      <c r="G97" s="2">
        <v>109.2</v>
      </c>
      <c r="H97" s="2"/>
      <c r="I97" s="2"/>
      <c r="J97" s="3">
        <v>153.71</v>
      </c>
      <c r="K97" s="3"/>
      <c r="L97" s="3"/>
      <c r="M97" s="3">
        <v>155.85</v>
      </c>
      <c r="N97" s="3"/>
      <c r="O97" s="3"/>
      <c r="P97" s="3">
        <v>142.13999999999999</v>
      </c>
      <c r="Q97" s="3"/>
      <c r="R97" s="3"/>
      <c r="S97" s="4">
        <v>96.91</v>
      </c>
      <c r="T97" s="4"/>
      <c r="U97" s="4"/>
    </row>
    <row r="98" spans="1:21" x14ac:dyDescent="0.25">
      <c r="A98" s="2">
        <v>121.1</v>
      </c>
      <c r="B98" s="2"/>
      <c r="C98" s="2"/>
      <c r="D98" s="2">
        <v>103.32</v>
      </c>
      <c r="E98" s="2"/>
      <c r="F98" s="2"/>
      <c r="G98" s="2">
        <v>108.48</v>
      </c>
      <c r="H98" s="2"/>
      <c r="I98" s="2"/>
      <c r="J98" s="3">
        <v>148.58000000000001</v>
      </c>
      <c r="K98" s="3"/>
      <c r="L98" s="3"/>
      <c r="M98" s="3">
        <v>147.44999999999999</v>
      </c>
      <c r="N98" s="3"/>
      <c r="O98" s="3"/>
      <c r="P98" s="3">
        <v>142.13999999999999</v>
      </c>
      <c r="Q98" s="3"/>
      <c r="R98" s="3"/>
      <c r="S98" s="4">
        <v>97.960999999999999</v>
      </c>
      <c r="T98" s="4"/>
      <c r="U98" s="4"/>
    </row>
    <row r="99" spans="1:21" x14ac:dyDescent="0.25">
      <c r="A99" s="2">
        <v>126.73</v>
      </c>
      <c r="B99" s="2"/>
      <c r="C99" s="2"/>
      <c r="D99" s="2">
        <v>103.32</v>
      </c>
      <c r="E99" s="2"/>
      <c r="F99" s="2"/>
      <c r="G99" s="2">
        <v>108.48</v>
      </c>
      <c r="H99" s="2"/>
      <c r="I99" s="2"/>
      <c r="J99" s="3">
        <v>148.58000000000001</v>
      </c>
      <c r="K99" s="3"/>
      <c r="L99" s="3"/>
      <c r="M99" s="3">
        <v>147.44999999999999</v>
      </c>
      <c r="N99" s="3"/>
      <c r="O99" s="3"/>
      <c r="P99" s="3">
        <v>123.19</v>
      </c>
      <c r="Q99" s="3"/>
      <c r="R99" s="3"/>
      <c r="S99" s="4">
        <v>97.960999999999999</v>
      </c>
      <c r="T99" s="4"/>
      <c r="U99" s="4"/>
    </row>
    <row r="100" spans="1:21" x14ac:dyDescent="0.25">
      <c r="A100" s="2">
        <v>126.73</v>
      </c>
      <c r="B100" s="2"/>
      <c r="C100" s="2"/>
      <c r="D100" s="2">
        <v>124.83</v>
      </c>
      <c r="E100" s="2"/>
      <c r="F100" s="2"/>
      <c r="G100" s="2">
        <v>103.92</v>
      </c>
      <c r="H100" s="2"/>
      <c r="I100" s="2"/>
      <c r="J100" s="3">
        <v>149.41</v>
      </c>
      <c r="K100" s="3"/>
      <c r="L100" s="3"/>
      <c r="M100" s="3">
        <v>146.06</v>
      </c>
      <c r="N100" s="3"/>
      <c r="O100" s="3"/>
      <c r="P100" s="3">
        <v>123.19</v>
      </c>
      <c r="Q100" s="3"/>
      <c r="R100" s="3"/>
      <c r="S100" s="4">
        <v>101.17</v>
      </c>
      <c r="T100" s="4"/>
      <c r="U100" s="4"/>
    </row>
    <row r="101" spans="1:21" x14ac:dyDescent="0.25">
      <c r="A101" s="2">
        <v>124.06</v>
      </c>
      <c r="B101" s="2"/>
      <c r="C101" s="2"/>
      <c r="D101" s="2">
        <v>124.83</v>
      </c>
      <c r="E101" s="2"/>
      <c r="F101" s="2"/>
      <c r="G101" s="2">
        <v>103.92</v>
      </c>
      <c r="H101" s="2"/>
      <c r="I101" s="2"/>
      <c r="J101" s="3">
        <v>149.41</v>
      </c>
      <c r="K101" s="3"/>
      <c r="L101" s="3"/>
      <c r="M101" s="3">
        <v>146.06</v>
      </c>
      <c r="N101" s="3"/>
      <c r="O101" s="3"/>
      <c r="P101" s="3">
        <v>129.6</v>
      </c>
      <c r="Q101" s="3"/>
      <c r="R101" s="3"/>
      <c r="S101" s="4">
        <v>101.17</v>
      </c>
      <c r="T101" s="4"/>
      <c r="U101" s="4"/>
    </row>
    <row r="102" spans="1:21" x14ac:dyDescent="0.25">
      <c r="A102" s="2">
        <v>124.06</v>
      </c>
      <c r="B102" s="2"/>
      <c r="C102" s="2"/>
      <c r="D102" s="2">
        <v>106.1</v>
      </c>
      <c r="E102" s="2"/>
      <c r="F102" s="2"/>
      <c r="G102" s="2">
        <v>113.29</v>
      </c>
      <c r="H102" s="2"/>
      <c r="I102" s="2"/>
      <c r="J102" s="3">
        <v>153.19</v>
      </c>
      <c r="K102" s="3"/>
      <c r="L102" s="3"/>
      <c r="M102" s="3">
        <v>145.29</v>
      </c>
      <c r="N102" s="3"/>
      <c r="O102" s="3"/>
      <c r="P102" s="3">
        <v>129.6</v>
      </c>
      <c r="Q102" s="3"/>
      <c r="R102" s="3"/>
      <c r="S102" s="4">
        <v>100.46</v>
      </c>
      <c r="T102" s="4"/>
      <c r="U102" s="4"/>
    </row>
    <row r="103" spans="1:21" x14ac:dyDescent="0.25">
      <c r="A103" s="2">
        <v>120.06</v>
      </c>
      <c r="B103" s="2"/>
      <c r="C103" s="2"/>
      <c r="D103" s="2">
        <v>106.1</v>
      </c>
      <c r="E103" s="2"/>
      <c r="F103" s="2"/>
      <c r="G103" s="2">
        <v>113.29</v>
      </c>
      <c r="H103" s="2"/>
      <c r="I103" s="2"/>
      <c r="J103" s="3">
        <v>153.19</v>
      </c>
      <c r="K103" s="3"/>
      <c r="L103" s="3"/>
      <c r="M103" s="3">
        <v>145.29</v>
      </c>
      <c r="N103" s="3"/>
      <c r="O103" s="3"/>
      <c r="P103" s="3">
        <v>120.01</v>
      </c>
      <c r="Q103" s="3"/>
      <c r="R103" s="3"/>
      <c r="S103" s="4">
        <v>100.46</v>
      </c>
      <c r="T103" s="4"/>
      <c r="U103" s="4"/>
    </row>
    <row r="104" spans="1:21" x14ac:dyDescent="0.25">
      <c r="A104" s="2">
        <v>120.06</v>
      </c>
      <c r="B104" s="2"/>
      <c r="C104" s="2"/>
      <c r="D104" s="2">
        <v>116.95</v>
      </c>
      <c r="E104" s="2"/>
      <c r="F104" s="2"/>
      <c r="G104" s="2">
        <v>108.04</v>
      </c>
      <c r="H104" s="2"/>
      <c r="I104" s="2"/>
      <c r="J104" s="3">
        <v>157.99</v>
      </c>
      <c r="K104" s="3"/>
      <c r="L104" s="3"/>
      <c r="M104" s="3">
        <v>144.55000000000001</v>
      </c>
      <c r="N104" s="3"/>
      <c r="O104" s="3"/>
      <c r="P104" s="3">
        <v>120.01</v>
      </c>
      <c r="Q104" s="3"/>
      <c r="R104" s="3"/>
      <c r="S104" s="4">
        <v>103.4</v>
      </c>
      <c r="T104" s="4"/>
      <c r="U104" s="4"/>
    </row>
    <row r="105" spans="1:21" x14ac:dyDescent="0.25">
      <c r="A105" s="2">
        <v>135.86000000000001</v>
      </c>
      <c r="B105" s="2"/>
      <c r="C105" s="2"/>
      <c r="D105" s="2">
        <v>116.95</v>
      </c>
      <c r="E105" s="2"/>
      <c r="F105" s="2"/>
      <c r="G105" s="2">
        <v>108.04</v>
      </c>
      <c r="H105" s="2"/>
      <c r="I105" s="2"/>
      <c r="J105" s="3">
        <v>157.99</v>
      </c>
      <c r="K105" s="3"/>
      <c r="L105" s="3"/>
      <c r="M105" s="3">
        <v>144.55000000000001</v>
      </c>
      <c r="N105" s="3"/>
      <c r="O105" s="3"/>
      <c r="P105" s="3">
        <v>121.33</v>
      </c>
      <c r="Q105" s="3"/>
      <c r="R105" s="3"/>
      <c r="S105" s="4">
        <v>103.4</v>
      </c>
      <c r="T105" s="4"/>
      <c r="U105" s="4"/>
    </row>
    <row r="106" spans="1:21" x14ac:dyDescent="0.25">
      <c r="A106" s="2">
        <v>135.86000000000001</v>
      </c>
      <c r="B106" s="2"/>
      <c r="C106" s="2"/>
      <c r="D106" s="2">
        <v>106.28</v>
      </c>
      <c r="E106" s="2"/>
      <c r="F106" s="2"/>
      <c r="G106" s="2">
        <v>104.97</v>
      </c>
      <c r="H106" s="2"/>
      <c r="I106" s="2"/>
      <c r="J106" s="3">
        <v>150.52000000000001</v>
      </c>
      <c r="K106" s="3"/>
      <c r="L106" s="3"/>
      <c r="M106" s="3">
        <v>151.56</v>
      </c>
      <c r="N106" s="3"/>
      <c r="O106" s="3"/>
      <c r="P106" s="3">
        <v>121.33</v>
      </c>
      <c r="Q106" s="3"/>
      <c r="R106" s="3"/>
      <c r="S106" s="4">
        <v>99.057000000000002</v>
      </c>
      <c r="T106" s="4"/>
      <c r="U106" s="4"/>
    </row>
    <row r="107" spans="1:21" x14ac:dyDescent="0.25">
      <c r="A107" s="2">
        <v>132.44</v>
      </c>
      <c r="B107" s="2"/>
      <c r="C107" s="2"/>
      <c r="D107" s="2">
        <v>106.28</v>
      </c>
      <c r="E107" s="2"/>
      <c r="F107" s="2"/>
      <c r="G107" s="2">
        <v>104.97</v>
      </c>
      <c r="H107" s="2"/>
      <c r="I107" s="2"/>
      <c r="J107" s="3">
        <v>150.52000000000001</v>
      </c>
      <c r="K107" s="3"/>
      <c r="L107" s="3"/>
      <c r="M107" s="3">
        <v>151.56</v>
      </c>
      <c r="N107" s="3"/>
      <c r="O107" s="3"/>
      <c r="P107" s="3">
        <v>140.68</v>
      </c>
      <c r="Q107" s="3"/>
      <c r="R107" s="3"/>
      <c r="S107" s="4">
        <v>99.057000000000002</v>
      </c>
      <c r="T107" s="4"/>
      <c r="U107" s="4"/>
    </row>
    <row r="108" spans="1:21" x14ac:dyDescent="0.25">
      <c r="A108" s="2">
        <v>132.44</v>
      </c>
      <c r="B108" s="2"/>
      <c r="C108" s="2"/>
      <c r="D108" s="2">
        <v>101.79</v>
      </c>
      <c r="E108" s="2"/>
      <c r="F108" s="2"/>
      <c r="G108" s="2">
        <v>109.75</v>
      </c>
      <c r="H108" s="2"/>
      <c r="I108" s="2"/>
      <c r="J108" s="3">
        <v>157.78</v>
      </c>
      <c r="K108" s="3"/>
      <c r="L108" s="3"/>
      <c r="M108" s="3">
        <v>144.30000000000001</v>
      </c>
      <c r="N108" s="3"/>
      <c r="O108" s="3"/>
      <c r="P108" s="3">
        <v>140.68</v>
      </c>
      <c r="Q108" s="3"/>
      <c r="R108" s="3"/>
      <c r="S108" s="4">
        <v>98.048000000000002</v>
      </c>
      <c r="T108" s="4"/>
      <c r="U108" s="4"/>
    </row>
    <row r="109" spans="1:21" x14ac:dyDescent="0.25">
      <c r="A109" s="2">
        <v>135.66</v>
      </c>
      <c r="B109" s="2"/>
      <c r="C109" s="2"/>
      <c r="D109" s="2">
        <v>101.79</v>
      </c>
      <c r="E109" s="2"/>
      <c r="F109" s="2"/>
      <c r="G109" s="2">
        <v>109.75</v>
      </c>
      <c r="H109" s="2"/>
      <c r="I109" s="2"/>
      <c r="J109" s="3">
        <v>157.78</v>
      </c>
      <c r="K109" s="3"/>
      <c r="L109" s="3"/>
      <c r="M109" s="3">
        <v>144.30000000000001</v>
      </c>
      <c r="N109" s="3"/>
      <c r="O109" s="3"/>
      <c r="P109" s="3">
        <v>117.54</v>
      </c>
      <c r="Q109" s="3"/>
      <c r="R109" s="3"/>
      <c r="S109" s="4">
        <v>98.048000000000002</v>
      </c>
      <c r="T109" s="4"/>
      <c r="U109" s="4"/>
    </row>
    <row r="110" spans="1:21" x14ac:dyDescent="0.25">
      <c r="A110" s="2">
        <v>135.66</v>
      </c>
      <c r="B110" s="2"/>
      <c r="C110" s="2"/>
      <c r="D110" s="2">
        <v>119.15</v>
      </c>
      <c r="E110" s="2"/>
      <c r="F110" s="2"/>
      <c r="G110" s="2">
        <v>105.21</v>
      </c>
      <c r="H110" s="2"/>
      <c r="I110" s="2"/>
      <c r="J110" s="3">
        <v>156.1</v>
      </c>
      <c r="K110" s="3"/>
      <c r="L110" s="3"/>
      <c r="M110" s="3">
        <v>144.85</v>
      </c>
      <c r="N110" s="3"/>
      <c r="O110" s="3"/>
      <c r="P110" s="3">
        <v>117.54</v>
      </c>
      <c r="Q110" s="3"/>
      <c r="R110" s="3"/>
      <c r="S110" s="4">
        <v>110.7</v>
      </c>
      <c r="T110" s="4"/>
      <c r="U110" s="4"/>
    </row>
    <row r="111" spans="1:21" x14ac:dyDescent="0.25">
      <c r="A111" s="2">
        <v>120.06</v>
      </c>
      <c r="B111" s="2"/>
      <c r="C111" s="2"/>
      <c r="D111" s="2"/>
      <c r="E111" s="2"/>
      <c r="F111" s="2"/>
      <c r="G111" s="2">
        <v>105.21</v>
      </c>
      <c r="H111" s="2"/>
      <c r="I111" s="2"/>
      <c r="J111" s="3">
        <v>156.1</v>
      </c>
      <c r="K111" s="3"/>
      <c r="L111" s="3"/>
      <c r="M111" s="3">
        <v>144.85</v>
      </c>
      <c r="N111" s="3"/>
      <c r="O111" s="3"/>
      <c r="P111" s="3">
        <v>122.93</v>
      </c>
      <c r="Q111" s="3"/>
      <c r="R111" s="3"/>
      <c r="S111" s="4">
        <v>110.7</v>
      </c>
      <c r="T111" s="4"/>
      <c r="U111" s="4"/>
    </row>
    <row r="112" spans="1:21" x14ac:dyDescent="0.25">
      <c r="A112" s="2">
        <v>120.06</v>
      </c>
      <c r="B112" s="2"/>
      <c r="C112" s="2"/>
      <c r="D112" s="2"/>
      <c r="E112" s="2"/>
      <c r="F112" s="2"/>
      <c r="G112" s="2">
        <v>104.01</v>
      </c>
      <c r="H112" s="2"/>
      <c r="I112" s="2"/>
      <c r="J112" s="3">
        <v>151.32</v>
      </c>
      <c r="K112" s="3"/>
      <c r="L112" s="3"/>
      <c r="M112" s="3">
        <v>145.57</v>
      </c>
      <c r="N112" s="3"/>
      <c r="O112" s="3"/>
      <c r="P112" s="3">
        <v>122.93</v>
      </c>
      <c r="Q112" s="3"/>
      <c r="R112" s="3"/>
      <c r="S112" s="4">
        <v>105.7</v>
      </c>
      <c r="T112" s="4"/>
      <c r="U112" s="4"/>
    </row>
    <row r="113" spans="1:21" x14ac:dyDescent="0.25">
      <c r="A113" s="2">
        <v>126.33</v>
      </c>
      <c r="B113" s="2"/>
      <c r="C113" s="2"/>
      <c r="D113" s="2"/>
      <c r="E113" s="2"/>
      <c r="F113" s="2"/>
      <c r="G113" s="2">
        <v>104.01</v>
      </c>
      <c r="H113" s="2"/>
      <c r="I113" s="2"/>
      <c r="J113" s="3">
        <v>151.32</v>
      </c>
      <c r="K113" s="3"/>
      <c r="L113" s="3"/>
      <c r="M113" s="3">
        <v>145.57</v>
      </c>
      <c r="N113" s="3"/>
      <c r="O113" s="3"/>
      <c r="P113" s="3">
        <v>119.05</v>
      </c>
      <c r="Q113" s="3"/>
      <c r="R113" s="3"/>
      <c r="S113" s="4">
        <v>105.7</v>
      </c>
      <c r="T113" s="4"/>
      <c r="U113" s="4"/>
    </row>
    <row r="114" spans="1:21" x14ac:dyDescent="0.25">
      <c r="A114" s="2">
        <v>126.33</v>
      </c>
      <c r="B114" s="2"/>
      <c r="C114" s="2"/>
      <c r="D114" s="2"/>
      <c r="E114" s="2"/>
      <c r="F114" s="2"/>
      <c r="G114" s="2">
        <v>107.14</v>
      </c>
      <c r="H114" s="2"/>
      <c r="I114" s="2"/>
      <c r="J114" s="3">
        <v>158.38999999999999</v>
      </c>
      <c r="K114" s="3"/>
      <c r="L114" s="3"/>
      <c r="M114" s="3">
        <v>145.94</v>
      </c>
      <c r="N114" s="3"/>
      <c r="O114" s="3"/>
      <c r="P114" s="3">
        <v>119.05</v>
      </c>
      <c r="Q114" s="3"/>
      <c r="R114" s="3"/>
      <c r="S114" s="4">
        <v>97.677999999999997</v>
      </c>
      <c r="T114" s="4"/>
      <c r="U114" s="4"/>
    </row>
    <row r="115" spans="1:21" x14ac:dyDescent="0.25">
      <c r="A115" s="2">
        <v>127.2</v>
      </c>
      <c r="B115" s="2"/>
      <c r="C115" s="2"/>
      <c r="D115" s="2"/>
      <c r="E115" s="2"/>
      <c r="F115" s="2"/>
      <c r="G115" s="2">
        <v>107.14</v>
      </c>
      <c r="H115" s="2"/>
      <c r="I115" s="2"/>
      <c r="J115" s="3">
        <v>158.38999999999999</v>
      </c>
      <c r="K115" s="3"/>
      <c r="L115" s="3"/>
      <c r="M115" s="3">
        <v>145.94</v>
      </c>
      <c r="N115" s="3"/>
      <c r="O115" s="3"/>
      <c r="P115" s="3">
        <v>117.63</v>
      </c>
      <c r="Q115" s="3"/>
      <c r="R115" s="3"/>
      <c r="S115" s="4">
        <v>97.677999999999997</v>
      </c>
      <c r="T115" s="4"/>
      <c r="U115" s="4"/>
    </row>
    <row r="116" spans="1:21" x14ac:dyDescent="0.25">
      <c r="A116" s="2">
        <v>127.2</v>
      </c>
      <c r="B116" s="2"/>
      <c r="C116" s="2"/>
      <c r="D116" s="2"/>
      <c r="E116" s="2"/>
      <c r="F116" s="2"/>
      <c r="G116" s="2">
        <v>115.42</v>
      </c>
      <c r="H116" s="2"/>
      <c r="I116" s="2"/>
      <c r="J116" s="3">
        <v>151.51</v>
      </c>
      <c r="K116" s="3"/>
      <c r="L116" s="3"/>
      <c r="M116" s="3">
        <v>147.49</v>
      </c>
      <c r="N116" s="3"/>
      <c r="O116" s="3"/>
      <c r="P116" s="3">
        <v>117.63</v>
      </c>
      <c r="Q116" s="3"/>
      <c r="R116" s="3"/>
      <c r="S116" s="4">
        <v>104.07</v>
      </c>
      <c r="T116" s="4"/>
      <c r="U116" s="4"/>
    </row>
    <row r="117" spans="1:21" x14ac:dyDescent="0.25">
      <c r="A117" s="2">
        <v>120.63</v>
      </c>
      <c r="B117" s="2"/>
      <c r="C117" s="2"/>
      <c r="D117" s="2"/>
      <c r="E117" s="2"/>
      <c r="F117" s="2"/>
      <c r="G117" s="2">
        <v>115.42</v>
      </c>
      <c r="H117" s="2"/>
      <c r="I117" s="2"/>
      <c r="J117" s="3">
        <v>151.51</v>
      </c>
      <c r="K117" s="3"/>
      <c r="L117" s="3"/>
      <c r="M117" s="3">
        <v>147.49</v>
      </c>
      <c r="N117" s="3"/>
      <c r="O117" s="3"/>
      <c r="P117" s="3">
        <v>132.21</v>
      </c>
      <c r="Q117" s="3"/>
      <c r="R117" s="3"/>
      <c r="S117" s="4">
        <v>104.07</v>
      </c>
      <c r="T117" s="4"/>
      <c r="U117" s="4"/>
    </row>
    <row r="118" spans="1:21" x14ac:dyDescent="0.25">
      <c r="A118" s="2">
        <v>120.63</v>
      </c>
      <c r="B118" s="2"/>
      <c r="C118" s="2"/>
      <c r="D118" s="2"/>
      <c r="E118" s="2"/>
      <c r="F118" s="2"/>
      <c r="G118" s="2">
        <v>103.06</v>
      </c>
      <c r="H118" s="2"/>
      <c r="I118" s="2"/>
      <c r="J118" s="3">
        <v>152.43</v>
      </c>
      <c r="K118" s="3"/>
      <c r="L118" s="3"/>
      <c r="M118" s="3">
        <v>148.57</v>
      </c>
      <c r="N118" s="3"/>
      <c r="O118" s="3"/>
      <c r="P118" s="3">
        <v>132.21</v>
      </c>
      <c r="Q118" s="3"/>
      <c r="R118" s="3"/>
      <c r="S118" s="4">
        <v>98.59</v>
      </c>
      <c r="T118" s="4"/>
      <c r="U118" s="4"/>
    </row>
    <row r="119" spans="1:21" x14ac:dyDescent="0.25">
      <c r="A119" s="2">
        <v>121.65</v>
      </c>
      <c r="B119" s="2"/>
      <c r="C119" s="2"/>
      <c r="D119" s="2"/>
      <c r="E119" s="2"/>
      <c r="F119" s="2"/>
      <c r="G119" s="2">
        <v>103.06</v>
      </c>
      <c r="H119" s="2"/>
      <c r="I119" s="2"/>
      <c r="J119" s="3">
        <v>152.43</v>
      </c>
      <c r="K119" s="3"/>
      <c r="L119" s="3"/>
      <c r="M119" s="3">
        <v>148.57</v>
      </c>
      <c r="N119" s="3"/>
      <c r="O119" s="3"/>
      <c r="P119" s="3">
        <v>118.53</v>
      </c>
      <c r="Q119" s="3"/>
      <c r="R119" s="3"/>
      <c r="S119" s="4">
        <v>98.59</v>
      </c>
      <c r="T119" s="4"/>
      <c r="U119" s="4"/>
    </row>
    <row r="120" spans="1:21" x14ac:dyDescent="0.25">
      <c r="A120" s="2">
        <v>121.65</v>
      </c>
      <c r="B120" s="2"/>
      <c r="C120" s="2"/>
      <c r="D120" s="2"/>
      <c r="E120" s="2"/>
      <c r="F120" s="2"/>
      <c r="G120" s="2">
        <v>114.27</v>
      </c>
      <c r="H120" s="2"/>
      <c r="I120" s="2"/>
      <c r="J120" s="3">
        <v>153.61000000000001</v>
      </c>
      <c r="K120" s="3"/>
      <c r="L120" s="3"/>
      <c r="M120" s="3">
        <v>144.9</v>
      </c>
      <c r="N120" s="3"/>
      <c r="O120" s="3"/>
      <c r="P120" s="3">
        <v>118.53</v>
      </c>
      <c r="Q120" s="3"/>
      <c r="R120" s="3"/>
      <c r="S120" s="4">
        <v>95.843999999999994</v>
      </c>
      <c r="T120" s="4"/>
      <c r="U120" s="4"/>
    </row>
    <row r="121" spans="1:21" x14ac:dyDescent="0.25">
      <c r="A121" s="2">
        <v>133.4</v>
      </c>
      <c r="B121" s="2"/>
      <c r="C121" s="2"/>
      <c r="D121" s="2"/>
      <c r="E121" s="2"/>
      <c r="F121" s="2"/>
      <c r="G121" s="2">
        <v>114.27</v>
      </c>
      <c r="H121" s="2"/>
      <c r="I121" s="2"/>
      <c r="J121" s="3">
        <v>153.61000000000001</v>
      </c>
      <c r="K121" s="3"/>
      <c r="L121" s="3"/>
      <c r="M121" s="3">
        <v>144.9</v>
      </c>
      <c r="N121" s="3"/>
      <c r="O121" s="3"/>
      <c r="P121" s="3">
        <v>137.55000000000001</v>
      </c>
      <c r="Q121" s="3"/>
      <c r="R121" s="3"/>
      <c r="S121" s="4">
        <v>95.843999999999994</v>
      </c>
      <c r="T121" s="4"/>
      <c r="U121" s="4"/>
    </row>
    <row r="122" spans="1:21" x14ac:dyDescent="0.25">
      <c r="A122" s="2">
        <v>133.4</v>
      </c>
      <c r="B122" s="2"/>
      <c r="C122" s="2"/>
      <c r="D122" s="2"/>
      <c r="E122" s="2"/>
      <c r="F122" s="2"/>
      <c r="G122" s="2">
        <v>114.99</v>
      </c>
      <c r="H122" s="2"/>
      <c r="I122" s="2"/>
    </row>
    <row r="123" spans="1:21" x14ac:dyDescent="0.25">
      <c r="A123" s="2">
        <v>128.28</v>
      </c>
      <c r="B123" s="2"/>
      <c r="C123" s="2"/>
      <c r="D123" s="2"/>
      <c r="E123" s="2"/>
      <c r="F123" s="2"/>
      <c r="G123" s="2">
        <v>114.99</v>
      </c>
      <c r="H123" s="2"/>
      <c r="I123" s="2"/>
    </row>
    <row r="124" spans="1:21" x14ac:dyDescent="0.25">
      <c r="A124" s="2">
        <v>128.28</v>
      </c>
      <c r="B124" s="2"/>
      <c r="C124" s="2"/>
      <c r="D124" s="2"/>
      <c r="E124" s="2"/>
      <c r="F124" s="2"/>
      <c r="G124" s="2">
        <v>101.88</v>
      </c>
      <c r="H124" s="2"/>
      <c r="I124" s="2"/>
    </row>
    <row r="125" spans="1:21" x14ac:dyDescent="0.25">
      <c r="A125" s="2">
        <v>132.79</v>
      </c>
      <c r="B125" s="2"/>
      <c r="C125" s="2"/>
      <c r="D125" s="2"/>
      <c r="E125" s="2"/>
      <c r="F125" s="2"/>
      <c r="G125" s="2">
        <v>101.88</v>
      </c>
      <c r="H125" s="2"/>
      <c r="I125" s="2"/>
    </row>
    <row r="126" spans="1:21" x14ac:dyDescent="0.25">
      <c r="A126" s="2">
        <v>132.79</v>
      </c>
      <c r="B126" s="2"/>
      <c r="C126" s="2"/>
      <c r="D126" s="2"/>
      <c r="E126" s="2"/>
      <c r="F126" s="2"/>
      <c r="G126" s="2"/>
      <c r="H126" s="2"/>
      <c r="I126" s="2"/>
    </row>
    <row r="127" spans="1:21" x14ac:dyDescent="0.25">
      <c r="A127" s="2">
        <v>123.59</v>
      </c>
      <c r="B127" s="2"/>
      <c r="C127" s="2"/>
      <c r="D127" s="2"/>
      <c r="E127" s="2"/>
      <c r="F127" s="2"/>
      <c r="G127" s="2"/>
      <c r="H127" s="2"/>
      <c r="I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C-Meridian-60FPS</vt:lpstr>
      <vt:lpstr>C-Meridian-60FPS-VSR4K</vt:lpstr>
      <vt:lpstr>C-Meridian24FPS</vt:lpstr>
      <vt:lpstr>C-Meridian24FPS-VSR4K</vt:lpstr>
      <vt:lpstr>A-BBB60FPS</vt:lpstr>
      <vt:lpstr>A-BBB60FPS-VSR4K</vt:lpstr>
      <vt:lpstr>A-BBB24FPS</vt:lpstr>
      <vt:lpstr>A-BBB24FPS-VSR4K</vt:lpstr>
      <vt:lpstr>EXTRAVAL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Queirós Da Silva Adriano</dc:creator>
  <cp:lastModifiedBy>Queirós Da Silva Adriano</cp:lastModifiedBy>
  <dcterms:created xsi:type="dcterms:W3CDTF">2026-09-05T11:32:31Z</dcterms:created>
  <dcterms:modified xsi:type="dcterms:W3CDTF">2026-09-16T12:38:21Z</dcterms:modified>
</cp:coreProperties>
</file>